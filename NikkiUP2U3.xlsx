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414A3268-F243-4859-83CD-2EB1EF0DCE50}" xr6:coauthVersionLast="40" xr6:coauthVersionMax="40" xr10:uidLastSave="{00000000-0000-0000-0000-000000000000}"/>
  <bookViews>
    <workbookView xWindow="-120" yWindow="-120" windowWidth="20730" windowHeight="11160" firstSheet="9" activeTab="3" xr2:uid="{00000000-000D-0000-FFFF-FFFF00000000}"/>
  </bookViews>
  <sheets>
    <sheet name="ホーム" sheetId="1" r:id="rId1"/>
    <sheet name="スコア" sheetId="4" r:id="rId2"/>
    <sheet name="検索" sheetId="2" r:id="rId3"/>
    <sheet name="出力" sheetId="43" r:id="rId4"/>
    <sheet name="評価値コロッセオ" sheetId="5" r:id="rId5"/>
    <sheet name="評価値シナリオ（ガール）" sheetId="7" r:id="rId6"/>
    <sheet name="評価値シナリオ（プリンセス）" sheetId="42" r:id="rId7"/>
    <sheet name="評価値ギルド" sheetId="6" r:id="rId8"/>
    <sheet name="評価値ギルド戦" sheetId="45" r:id="rId9"/>
    <sheet name="評価値協会" sheetId="8" r:id="rId10"/>
    <sheet name="ヘアスタイル" sheetId="9" r:id="rId11"/>
    <sheet name="ドレス" sheetId="10" r:id="rId12"/>
    <sheet name="コート" sheetId="11" r:id="rId13"/>
    <sheet name="トップス" sheetId="12" r:id="rId14"/>
    <sheet name="ボトムス" sheetId="13" r:id="rId15"/>
    <sheet name="足飾り" sheetId="14" r:id="rId16"/>
    <sheet name="靴下" sheetId="15" r:id="rId17"/>
    <sheet name="シューズ" sheetId="16" r:id="rId18"/>
    <sheet name="メイク" sheetId="17" r:id="rId19"/>
    <sheet name="ヴィータ" sheetId="18" r:id="rId20"/>
    <sheet name="ヘッドアクセ" sheetId="19" r:id="rId21"/>
    <sheet name="ヴェール" sheetId="20" r:id="rId22"/>
    <sheet name="カチューシャ" sheetId="21" r:id="rId23"/>
    <sheet name="つけ耳" sheetId="22" r:id="rId24"/>
    <sheet name="マフラー" sheetId="23" r:id="rId25"/>
    <sheet name="ネックレス" sheetId="24" r:id="rId26"/>
    <sheet name="右手飾り" sheetId="25" r:id="rId27"/>
    <sheet name="左手飾り" sheetId="26" r:id="rId28"/>
    <sheet name="手袋" sheetId="27" r:id="rId29"/>
    <sheet name="右手持ち" sheetId="28" r:id="rId30"/>
    <sheet name="左手持ち" sheetId="29" r:id="rId31"/>
    <sheet name="両手持ち" sheetId="30" r:id="rId32"/>
    <sheet name="腰飾り" sheetId="31" r:id="rId33"/>
    <sheet name="肌" sheetId="41" r:id="rId34"/>
    <sheet name="フェイス" sheetId="32" r:id="rId35"/>
    <sheet name="ボディ" sheetId="33" r:id="rId36"/>
    <sheet name="タトゥー" sheetId="34" r:id="rId37"/>
    <sheet name="羽根" sheetId="35" r:id="rId38"/>
    <sheet name="しっぽ" sheetId="36" r:id="rId39"/>
    <sheet name="前景" sheetId="37" r:id="rId40"/>
    <sheet name="後景" sheetId="38" r:id="rId41"/>
    <sheet name="吊り" sheetId="39" r:id="rId42"/>
    <sheet name="床" sheetId="40" r:id="rId43"/>
  </sheets>
  <definedNames>
    <definedName name="コロッセオ">評価値コロッセオ!$A$2:$A$18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43" l="1"/>
  <c r="Q2" i="2" l="1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2" i="43" l="1"/>
</calcChain>
</file>

<file path=xl/sharedStrings.xml><?xml version="1.0" encoding="utf-8"?>
<sst xmlns="http://schemas.openxmlformats.org/spreadsheetml/2006/main" count="521" uniqueCount="312">
  <si>
    <t>NikkiUp2U3（奇迹暖暖）最適コーデスクリプト</t>
    <rPh sb="16" eb="18">
      <t>サイテキ</t>
    </rPh>
    <phoneticPr fontId="1"/>
  </si>
  <si>
    <t>本家（中国版）の最適コーディネートを算出するスクリプトです。</t>
    <rPh sb="0" eb="2">
      <t>ホンケ</t>
    </rPh>
    <rPh sb="3" eb="5">
      <t>チュウゴク</t>
    </rPh>
    <rPh sb="5" eb="6">
      <t>バン</t>
    </rPh>
    <rPh sb="8" eb="10">
      <t>サイテキ</t>
    </rPh>
    <rPh sb="18" eb="20">
      <t>サンシュツ</t>
    </rPh>
    <phoneticPr fontId="1"/>
  </si>
  <si>
    <t>使用している省略記号など</t>
    <rPh sb="0" eb="2">
      <t>シヨウ</t>
    </rPh>
    <rPh sb="6" eb="8">
      <t>ショウリャク</t>
    </rPh>
    <rPh sb="8" eb="10">
      <t>キゴウ</t>
    </rPh>
    <phoneticPr fontId="1"/>
  </si>
  <si>
    <t>中国語</t>
    <rPh sb="0" eb="3">
      <t>チュウゴクゴ</t>
    </rPh>
    <phoneticPr fontId="1"/>
  </si>
  <si>
    <t>日本語</t>
    <rPh sb="0" eb="3">
      <t>ニホンゴ</t>
    </rPh>
    <phoneticPr fontId="1"/>
  </si>
  <si>
    <t>省略記号</t>
    <rPh sb="0" eb="2">
      <t>ショウリャク</t>
    </rPh>
    <rPh sb="2" eb="4">
      <t>キゴウ</t>
    </rPh>
    <phoneticPr fontId="1"/>
  </si>
  <si>
    <t>ガール級</t>
    <rPh sb="3" eb="4">
      <t>キュウ</t>
    </rPh>
    <phoneticPr fontId="1"/>
  </si>
  <si>
    <r>
      <t>少女</t>
    </r>
    <r>
      <rPr>
        <sz val="11"/>
        <color theme="1"/>
        <rFont val="Microsoft YaHei"/>
        <family val="2"/>
        <charset val="134"/>
      </rPr>
      <t>级</t>
    </r>
    <rPh sb="0" eb="2">
      <t>ショウジョ</t>
    </rPh>
    <phoneticPr fontId="1"/>
  </si>
  <si>
    <r>
      <t>公主</t>
    </r>
    <r>
      <rPr>
        <sz val="11"/>
        <color theme="1"/>
        <rFont val="Microsoft YaHei"/>
        <family val="2"/>
        <charset val="134"/>
      </rPr>
      <t>级</t>
    </r>
    <rPh sb="0" eb="2">
      <t>コウシュ</t>
    </rPh>
    <phoneticPr fontId="1"/>
  </si>
  <si>
    <t>プリンセス級</t>
    <rPh sb="5" eb="6">
      <t>キュウ</t>
    </rPh>
    <phoneticPr fontId="1"/>
  </si>
  <si>
    <t>gi</t>
    <phoneticPr fontId="1"/>
  </si>
  <si>
    <t>pr</t>
    <phoneticPr fontId="1"/>
  </si>
  <si>
    <t>完美++</t>
    <rPh sb="0" eb="1">
      <t>カン</t>
    </rPh>
    <rPh sb="1" eb="2">
      <t>ミ</t>
    </rPh>
    <phoneticPr fontId="1"/>
  </si>
  <si>
    <t>完美+</t>
    <phoneticPr fontId="1"/>
  </si>
  <si>
    <t>完美</t>
    <phoneticPr fontId="1"/>
  </si>
  <si>
    <t>SSS</t>
    <phoneticPr fontId="1"/>
  </si>
  <si>
    <t>SS</t>
    <phoneticPr fontId="1"/>
  </si>
  <si>
    <t>优秀</t>
    <phoneticPr fontId="1"/>
  </si>
  <si>
    <t>不错</t>
    <phoneticPr fontId="1"/>
  </si>
  <si>
    <t>普通</t>
    <phoneticPr fontId="1"/>
  </si>
  <si>
    <t>A</t>
    <phoneticPr fontId="1"/>
  </si>
  <si>
    <t>B</t>
    <phoneticPr fontId="1"/>
  </si>
  <si>
    <t>C</t>
    <phoneticPr fontId="1"/>
  </si>
  <si>
    <t>（該当なし）</t>
    <rPh sb="1" eb="3">
      <t>ガイトウ</t>
    </rPh>
    <phoneticPr fontId="1"/>
  </si>
  <si>
    <t>简约</t>
    <phoneticPr fontId="1"/>
  </si>
  <si>
    <t>si</t>
    <phoneticPr fontId="1"/>
  </si>
  <si>
    <t>sss</t>
    <phoneticPr fontId="1"/>
  </si>
  <si>
    <t>ss</t>
    <phoneticPr fontId="1"/>
  </si>
  <si>
    <t>s</t>
    <phoneticPr fontId="1"/>
  </si>
  <si>
    <t>a</t>
    <phoneticPr fontId="1"/>
  </si>
  <si>
    <t>b</t>
    <phoneticPr fontId="1"/>
  </si>
  <si>
    <t>c</t>
    <phoneticPr fontId="1"/>
  </si>
  <si>
    <t>e</t>
    <phoneticPr fontId="1"/>
  </si>
  <si>
    <t>华丽</t>
    <phoneticPr fontId="1"/>
  </si>
  <si>
    <t>活泼</t>
    <phoneticPr fontId="1"/>
  </si>
  <si>
    <t>优雅</t>
  </si>
  <si>
    <t>go</t>
    <phoneticPr fontId="1"/>
  </si>
  <si>
    <t>ac</t>
    <phoneticPr fontId="1"/>
  </si>
  <si>
    <t>el</t>
    <phoneticPr fontId="1"/>
  </si>
  <si>
    <t>cu</t>
    <phoneticPr fontId="1"/>
  </si>
  <si>
    <t>成熟</t>
    <phoneticPr fontId="1"/>
  </si>
  <si>
    <t>ad</t>
    <phoneticPr fontId="1"/>
  </si>
  <si>
    <t>pu</t>
    <phoneticPr fontId="1"/>
  </si>
  <si>
    <t>性感</t>
    <phoneticPr fontId="1"/>
  </si>
  <si>
    <t>se</t>
    <phoneticPr fontId="1"/>
  </si>
  <si>
    <t>co</t>
    <phoneticPr fontId="1"/>
  </si>
  <si>
    <t>保暖</t>
    <phoneticPr fontId="1"/>
  </si>
  <si>
    <t>wa</t>
    <phoneticPr fontId="1"/>
  </si>
  <si>
    <t>シンプル</t>
    <phoneticPr fontId="1"/>
  </si>
  <si>
    <t>華麗</t>
    <rPh sb="0" eb="2">
      <t>カレイ</t>
    </rPh>
    <phoneticPr fontId="1"/>
  </si>
  <si>
    <t>アクティブ</t>
    <phoneticPr fontId="1"/>
  </si>
  <si>
    <t>エレガント</t>
    <phoneticPr fontId="1"/>
  </si>
  <si>
    <t>キュート</t>
    <phoneticPr fontId="1"/>
  </si>
  <si>
    <t>大人</t>
    <rPh sb="0" eb="2">
      <t>オトナ</t>
    </rPh>
    <phoneticPr fontId="1"/>
  </si>
  <si>
    <t>ピュア</t>
    <phoneticPr fontId="1"/>
  </si>
  <si>
    <t>セクシー</t>
    <phoneticPr fontId="1"/>
  </si>
  <si>
    <t>クール</t>
    <phoneticPr fontId="1"/>
  </si>
  <si>
    <t>ウォーム</t>
    <phoneticPr fontId="1"/>
  </si>
  <si>
    <t>清凉</t>
    <phoneticPr fontId="1"/>
  </si>
  <si>
    <r>
      <t>可</t>
    </r>
    <r>
      <rPr>
        <sz val="11"/>
        <color rgb="FF000000"/>
        <rFont val="Microsoft YaHei"/>
        <family val="3"/>
        <charset val="134"/>
      </rPr>
      <t>爱</t>
    </r>
    <phoneticPr fontId="1"/>
  </si>
  <si>
    <t>清纯</t>
    <phoneticPr fontId="1"/>
  </si>
  <si>
    <t>コーデコロッセオのスコアメモ</t>
    <phoneticPr fontId="1"/>
  </si>
  <si>
    <t>日本語</t>
    <rPh sb="0" eb="2">
      <t>ニホン</t>
    </rPh>
    <rPh sb="2" eb="3">
      <t>ゴ</t>
    </rPh>
    <phoneticPr fontId="1"/>
  </si>
  <si>
    <t>中国語</t>
    <rPh sb="0" eb="2">
      <t>チュウゴク</t>
    </rPh>
    <rPh sb="2" eb="3">
      <t>ゴ</t>
    </rPh>
    <phoneticPr fontId="1"/>
  </si>
  <si>
    <t>スコア</t>
    <phoneticPr fontId="1"/>
  </si>
  <si>
    <t>Xmasのホームパーティー</t>
    <phoneticPr fontId="1"/>
  </si>
  <si>
    <t>サマーストーリー</t>
    <phoneticPr fontId="1"/>
  </si>
  <si>
    <t>ビーチパーティーコーデ</t>
    <phoneticPr fontId="1"/>
  </si>
  <si>
    <t>絶世の麗人</t>
    <phoneticPr fontId="1"/>
  </si>
  <si>
    <t>オフィスの女王</t>
    <phoneticPr fontId="1"/>
  </si>
  <si>
    <t>春のピクニック</t>
    <phoneticPr fontId="1"/>
  </si>
  <si>
    <t>冬の炎</t>
    <phoneticPr fontId="1"/>
  </si>
  <si>
    <t>夏のガーデンパーティー</t>
    <phoneticPr fontId="1"/>
  </si>
  <si>
    <t>スポーツタイム</t>
    <phoneticPr fontId="1"/>
  </si>
  <si>
    <t>麗しき美女</t>
    <phoneticPr fontId="1"/>
  </si>
  <si>
    <t>春の香り</t>
    <phoneticPr fontId="1"/>
  </si>
  <si>
    <t>宮廷舞踏会</t>
    <phoneticPr fontId="1"/>
  </si>
  <si>
    <t>ゴールデンホール</t>
    <phoneticPr fontId="1"/>
  </si>
  <si>
    <t>華麗な女王</t>
    <phoneticPr fontId="1"/>
  </si>
  <si>
    <t>フェアリーガーデン</t>
    <phoneticPr fontId="1"/>
  </si>
  <si>
    <t>キュートな大人女子</t>
    <phoneticPr fontId="1"/>
  </si>
  <si>
    <t>名探偵ホームズ</t>
    <phoneticPr fontId="1"/>
  </si>
  <si>
    <t>防晒</t>
    <phoneticPr fontId="1"/>
  </si>
  <si>
    <t>舞者</t>
    <phoneticPr fontId="1"/>
  </si>
  <si>
    <t>属性対応表</t>
    <rPh sb="0" eb="2">
      <t>ゾクセイ</t>
    </rPh>
    <rPh sb="2" eb="4">
      <t>タイオウ</t>
    </rPh>
    <rPh sb="4" eb="5">
      <t>ヒョウ</t>
    </rPh>
    <phoneticPr fontId="1"/>
  </si>
  <si>
    <t>タグ対応表</t>
    <rPh sb="2" eb="4">
      <t>タイオウ</t>
    </rPh>
    <rPh sb="4" eb="5">
      <t>ヒョウ</t>
    </rPh>
    <phoneticPr fontId="1"/>
  </si>
  <si>
    <t>碎花</t>
    <phoneticPr fontId="1"/>
  </si>
  <si>
    <t>冬装</t>
    <phoneticPr fontId="1"/>
  </si>
  <si>
    <t>英伦</t>
    <phoneticPr fontId="1"/>
  </si>
  <si>
    <t>泳装</t>
    <phoneticPr fontId="1"/>
  </si>
  <si>
    <t>沐浴</t>
    <phoneticPr fontId="1"/>
  </si>
  <si>
    <t>和风</t>
    <phoneticPr fontId="1"/>
  </si>
  <si>
    <t>睡衣</t>
    <phoneticPr fontId="1"/>
  </si>
  <si>
    <t>スコア計算方法</t>
    <rPh sb="3" eb="5">
      <t>ケイサン</t>
    </rPh>
    <rPh sb="5" eb="7">
      <t>ホウホウ</t>
    </rPh>
    <phoneticPr fontId="1"/>
  </si>
  <si>
    <t>婚纱</t>
    <phoneticPr fontId="1"/>
  </si>
  <si>
    <t>军装</t>
    <phoneticPr fontId="1"/>
  </si>
  <si>
    <t>白领女郎</t>
    <phoneticPr fontId="1"/>
  </si>
  <si>
    <t>围裙</t>
    <phoneticPr fontId="1"/>
  </si>
  <si>
    <t>旗袍</t>
    <phoneticPr fontId="1"/>
  </si>
  <si>
    <t>女仆装</t>
    <phoneticPr fontId="1"/>
  </si>
  <si>
    <t>晩礼服</t>
    <phoneticPr fontId="1"/>
  </si>
  <si>
    <t>海军风</t>
    <phoneticPr fontId="1"/>
  </si>
  <si>
    <t>民族风</t>
    <phoneticPr fontId="1"/>
  </si>
  <si>
    <t>兔女郎</t>
    <phoneticPr fontId="1"/>
  </si>
  <si>
    <t>大小姐</t>
    <phoneticPr fontId="1"/>
  </si>
  <si>
    <t>洛丽塔</t>
    <phoneticPr fontId="1"/>
  </si>
  <si>
    <t>哥特风</t>
    <phoneticPr fontId="1"/>
  </si>
  <si>
    <t>运动系</t>
    <phoneticPr fontId="1"/>
  </si>
  <si>
    <t>原宿系</t>
    <phoneticPr fontId="1"/>
  </si>
  <si>
    <t>学院系</t>
    <phoneticPr fontId="1"/>
  </si>
  <si>
    <t>中性风</t>
    <phoneticPr fontId="1"/>
  </si>
  <si>
    <t>未来系</t>
    <phoneticPr fontId="1"/>
  </si>
  <si>
    <t>童话系</t>
    <phoneticPr fontId="1"/>
  </si>
  <si>
    <t>摇滚风</t>
    <phoneticPr fontId="1"/>
  </si>
  <si>
    <t>牛仔布</t>
    <phoneticPr fontId="1"/>
  </si>
  <si>
    <t>小动物</t>
    <phoneticPr fontId="1"/>
  </si>
  <si>
    <t>女神系</t>
    <phoneticPr fontId="1"/>
  </si>
  <si>
    <t>现代流行</t>
    <phoneticPr fontId="1"/>
  </si>
  <si>
    <t>居家服</t>
    <phoneticPr fontId="1"/>
  </si>
  <si>
    <t>中式古典</t>
    <phoneticPr fontId="1"/>
  </si>
  <si>
    <t>印度服饰</t>
    <phoneticPr fontId="1"/>
  </si>
  <si>
    <t>民国服饰</t>
    <phoneticPr fontId="1"/>
  </si>
  <si>
    <t>欧式古典</t>
    <phoneticPr fontId="1"/>
  </si>
  <si>
    <t>侠客联盟</t>
    <phoneticPr fontId="1"/>
  </si>
  <si>
    <t>雨季装备</t>
    <phoneticPr fontId="1"/>
  </si>
  <si>
    <t>中式现代</t>
    <phoneticPr fontId="1"/>
  </si>
  <si>
    <t>森女系列</t>
    <phoneticPr fontId="1"/>
  </si>
  <si>
    <t>波西米亚</t>
    <phoneticPr fontId="1"/>
  </si>
  <si>
    <t>医务使者</t>
    <phoneticPr fontId="1"/>
  </si>
  <si>
    <t>UV対策</t>
    <rPh sb="2" eb="4">
      <t>タイサク</t>
    </rPh>
    <phoneticPr fontId="1"/>
  </si>
  <si>
    <t>ダンサー</t>
    <phoneticPr fontId="1"/>
  </si>
  <si>
    <t>小花柄</t>
    <rPh sb="0" eb="2">
      <t>コバナ</t>
    </rPh>
    <rPh sb="2" eb="3">
      <t>ガラ</t>
    </rPh>
    <phoneticPr fontId="1"/>
  </si>
  <si>
    <t>冬服</t>
    <rPh sb="0" eb="2">
      <t>フユフク</t>
    </rPh>
    <phoneticPr fontId="1"/>
  </si>
  <si>
    <t>英国風</t>
    <rPh sb="0" eb="3">
      <t>エイコクフウ</t>
    </rPh>
    <phoneticPr fontId="1"/>
  </si>
  <si>
    <t>水着</t>
    <rPh sb="0" eb="2">
      <t>ミズギ</t>
    </rPh>
    <phoneticPr fontId="1"/>
  </si>
  <si>
    <t>バスタイム</t>
    <phoneticPr fontId="1"/>
  </si>
  <si>
    <t>和風</t>
    <rPh sb="0" eb="2">
      <t>ワフウ</t>
    </rPh>
    <phoneticPr fontId="1"/>
  </si>
  <si>
    <t>ナイトウェア</t>
    <phoneticPr fontId="1"/>
  </si>
  <si>
    <t>ウェディング</t>
    <phoneticPr fontId="1"/>
  </si>
  <si>
    <t>ミリタリー</t>
    <phoneticPr fontId="1"/>
  </si>
  <si>
    <t>OL</t>
    <phoneticPr fontId="1"/>
  </si>
  <si>
    <t>エプロン</t>
    <phoneticPr fontId="1"/>
  </si>
  <si>
    <t>チャイナドレス</t>
    <phoneticPr fontId="1"/>
  </si>
  <si>
    <t>メイド</t>
    <phoneticPr fontId="1"/>
  </si>
  <si>
    <t>フォーマル</t>
    <phoneticPr fontId="1"/>
  </si>
  <si>
    <t>ネイビー</t>
    <phoneticPr fontId="1"/>
  </si>
  <si>
    <t>エスニック</t>
    <phoneticPr fontId="1"/>
  </si>
  <si>
    <t>バニー</t>
    <phoneticPr fontId="1"/>
  </si>
  <si>
    <t>お嬢様</t>
    <rPh sb="1" eb="3">
      <t>ジョウサマ</t>
    </rPh>
    <phoneticPr fontId="1"/>
  </si>
  <si>
    <t>ロック</t>
    <phoneticPr fontId="1"/>
  </si>
  <si>
    <t>ロリータ</t>
    <phoneticPr fontId="1"/>
  </si>
  <si>
    <t>ゴシック</t>
    <phoneticPr fontId="1"/>
  </si>
  <si>
    <t>スポーティ</t>
    <phoneticPr fontId="1"/>
  </si>
  <si>
    <t>原宿系</t>
    <rPh sb="0" eb="2">
      <t>ハラジュク</t>
    </rPh>
    <rPh sb="2" eb="3">
      <t>ケイ</t>
    </rPh>
    <phoneticPr fontId="1"/>
  </si>
  <si>
    <t>学生風</t>
    <rPh sb="0" eb="3">
      <t>ガクセイフウ</t>
    </rPh>
    <phoneticPr fontId="1"/>
  </si>
  <si>
    <t>中性風</t>
    <rPh sb="0" eb="2">
      <t>チュウセイ</t>
    </rPh>
    <rPh sb="2" eb="3">
      <t>フウ</t>
    </rPh>
    <phoneticPr fontId="1"/>
  </si>
  <si>
    <t>近未来</t>
    <rPh sb="0" eb="3">
      <t>キンミライ</t>
    </rPh>
    <phoneticPr fontId="1"/>
  </si>
  <si>
    <t>メルヘン</t>
    <phoneticPr fontId="1"/>
  </si>
  <si>
    <t>デニム</t>
    <phoneticPr fontId="1"/>
  </si>
  <si>
    <t>小動物</t>
    <rPh sb="0" eb="3">
      <t>ショウドウブツ</t>
    </rPh>
    <phoneticPr fontId="1"/>
  </si>
  <si>
    <t>女神</t>
    <rPh sb="0" eb="2">
      <t>メガミ</t>
    </rPh>
    <phoneticPr fontId="1"/>
  </si>
  <si>
    <t>POP</t>
    <phoneticPr fontId="1"/>
  </si>
  <si>
    <t>部屋義</t>
    <rPh sb="0" eb="2">
      <t>ヘヤ</t>
    </rPh>
    <rPh sb="2" eb="3">
      <t>ギ</t>
    </rPh>
    <phoneticPr fontId="1"/>
  </si>
  <si>
    <t>クラシックチャイナ</t>
    <phoneticPr fontId="1"/>
  </si>
  <si>
    <t>インド風</t>
    <rPh sb="3" eb="4">
      <t>フウ</t>
    </rPh>
    <phoneticPr fontId="1"/>
  </si>
  <si>
    <t>レトロチャイナ</t>
    <phoneticPr fontId="1"/>
  </si>
  <si>
    <t>中世ヨーロッパ風</t>
    <rPh sb="0" eb="2">
      <t>チュウセイ</t>
    </rPh>
    <rPh sb="7" eb="8">
      <t>フウ</t>
    </rPh>
    <phoneticPr fontId="1"/>
  </si>
  <si>
    <t>ワル</t>
    <phoneticPr fontId="1"/>
  </si>
  <si>
    <t>雨の日</t>
    <rPh sb="0" eb="1">
      <t>アメ</t>
    </rPh>
    <rPh sb="2" eb="3">
      <t>ヒ</t>
    </rPh>
    <phoneticPr fontId="1"/>
  </si>
  <si>
    <t>モダンチャイナ</t>
    <phoneticPr fontId="1"/>
  </si>
  <si>
    <t>森ガール</t>
    <rPh sb="0" eb="1">
      <t>モリ</t>
    </rPh>
    <phoneticPr fontId="1"/>
  </si>
  <si>
    <t>ボヘミアン</t>
    <phoneticPr fontId="1"/>
  </si>
  <si>
    <t>メディカル</t>
    <phoneticPr fontId="1"/>
  </si>
  <si>
    <t>绝色无双</t>
  </si>
  <si>
    <t>绝色无双</t>
    <phoneticPr fontId="1"/>
  </si>
  <si>
    <t>有女初长成</t>
    <phoneticPr fontId="1"/>
  </si>
  <si>
    <t>大侦探福尔摩斯</t>
    <phoneticPr fontId="1"/>
  </si>
  <si>
    <t>春天在哪里</t>
    <phoneticPr fontId="1"/>
  </si>
  <si>
    <t>夏日物语</t>
    <phoneticPr fontId="1"/>
  </si>
  <si>
    <t>清秀佳人</t>
    <phoneticPr fontId="1"/>
  </si>
  <si>
    <t>女王大人</t>
    <phoneticPr fontId="1"/>
  </si>
  <si>
    <t>冬天里的一把火</t>
    <phoneticPr fontId="1"/>
  </si>
  <si>
    <t>金色音乐厅</t>
    <phoneticPr fontId="1"/>
  </si>
  <si>
    <t>年轻的春游</t>
    <phoneticPr fontId="1"/>
  </si>
  <si>
    <t>办公室明星</t>
    <phoneticPr fontId="1"/>
  </si>
  <si>
    <t xml:space="preserve">奇幻童话园 </t>
    <phoneticPr fontId="1"/>
  </si>
  <si>
    <t>运动进行时</t>
    <phoneticPr fontId="1"/>
  </si>
  <si>
    <t>海边派对的搭配</t>
    <phoneticPr fontId="1"/>
  </si>
  <si>
    <t>圣诞家庭聚会</t>
    <phoneticPr fontId="1"/>
  </si>
  <si>
    <t>夏季游园会</t>
    <phoneticPr fontId="1"/>
  </si>
  <si>
    <t>宫廷歌舞会</t>
    <phoneticPr fontId="1"/>
  </si>
  <si>
    <t>アイテム分類</t>
    <rPh sb="4" eb="6">
      <t>ブンルイ</t>
    </rPh>
    <phoneticPr fontId="1"/>
  </si>
  <si>
    <t>ヘアスタイル</t>
    <phoneticPr fontId="1"/>
  </si>
  <si>
    <t>ドレス</t>
    <phoneticPr fontId="1"/>
  </si>
  <si>
    <t>コート</t>
    <phoneticPr fontId="1"/>
  </si>
  <si>
    <t>トップス</t>
    <phoneticPr fontId="1"/>
  </si>
  <si>
    <t>ボトムス</t>
    <phoneticPr fontId="1"/>
  </si>
  <si>
    <t>足飾り</t>
    <rPh sb="0" eb="1">
      <t>アシ</t>
    </rPh>
    <rPh sb="1" eb="2">
      <t>カザ</t>
    </rPh>
    <phoneticPr fontId="1"/>
  </si>
  <si>
    <t>靴下</t>
    <rPh sb="0" eb="2">
      <t>クツシタ</t>
    </rPh>
    <phoneticPr fontId="1"/>
  </si>
  <si>
    <t>シューズ</t>
    <phoneticPr fontId="1"/>
  </si>
  <si>
    <t>メイク</t>
    <phoneticPr fontId="1"/>
  </si>
  <si>
    <t>ヴィータ</t>
    <phoneticPr fontId="1"/>
  </si>
  <si>
    <t>ヘッドアクセ</t>
    <phoneticPr fontId="1"/>
  </si>
  <si>
    <t>ヴェール</t>
    <phoneticPr fontId="1"/>
  </si>
  <si>
    <t>カチューシャ</t>
    <phoneticPr fontId="1"/>
  </si>
  <si>
    <t>つけ耳</t>
    <rPh sb="2" eb="3">
      <t>ミミ</t>
    </rPh>
    <phoneticPr fontId="1"/>
  </si>
  <si>
    <t>耳飾り</t>
    <rPh sb="0" eb="2">
      <t>ミミカザ</t>
    </rPh>
    <phoneticPr fontId="1"/>
  </si>
  <si>
    <t>マフラー</t>
    <phoneticPr fontId="1"/>
  </si>
  <si>
    <t>ネックレス</t>
    <phoneticPr fontId="1"/>
  </si>
  <si>
    <t>右手飾り</t>
    <rPh sb="0" eb="2">
      <t>ミギテ</t>
    </rPh>
    <rPh sb="2" eb="3">
      <t>カザ</t>
    </rPh>
    <phoneticPr fontId="1"/>
  </si>
  <si>
    <t>左手飾り</t>
    <rPh sb="0" eb="2">
      <t>ヒダリテ</t>
    </rPh>
    <rPh sb="2" eb="3">
      <t>カザ</t>
    </rPh>
    <phoneticPr fontId="1"/>
  </si>
  <si>
    <t>手袋</t>
    <rPh sb="0" eb="2">
      <t>テブクロ</t>
    </rPh>
    <phoneticPr fontId="1"/>
  </si>
  <si>
    <t>右手持ち</t>
    <rPh sb="0" eb="1">
      <t>ミギ</t>
    </rPh>
    <rPh sb="1" eb="3">
      <t>テモ</t>
    </rPh>
    <phoneticPr fontId="1"/>
  </si>
  <si>
    <t>左手持ち</t>
    <rPh sb="0" eb="1">
      <t>ヒダリ</t>
    </rPh>
    <rPh sb="1" eb="3">
      <t>テモ</t>
    </rPh>
    <phoneticPr fontId="1"/>
  </si>
  <si>
    <t>腰飾り</t>
    <rPh sb="0" eb="1">
      <t>コシ</t>
    </rPh>
    <rPh sb="1" eb="2">
      <t>カザ</t>
    </rPh>
    <phoneticPr fontId="1"/>
  </si>
  <si>
    <t>両手持ち</t>
    <rPh sb="0" eb="2">
      <t>リョウテ</t>
    </rPh>
    <rPh sb="2" eb="3">
      <t>モ</t>
    </rPh>
    <phoneticPr fontId="1"/>
  </si>
  <si>
    <t>フェイス</t>
    <phoneticPr fontId="1"/>
  </si>
  <si>
    <t>ボディ</t>
    <phoneticPr fontId="1"/>
  </si>
  <si>
    <t>タトゥー</t>
    <phoneticPr fontId="1"/>
  </si>
  <si>
    <t>羽根</t>
    <rPh sb="0" eb="2">
      <t>ハネ</t>
    </rPh>
    <phoneticPr fontId="1"/>
  </si>
  <si>
    <t>しっぽ</t>
    <phoneticPr fontId="1"/>
  </si>
  <si>
    <t>後景</t>
    <rPh sb="0" eb="1">
      <t>ウシ</t>
    </rPh>
    <phoneticPr fontId="1"/>
  </si>
  <si>
    <t>吊り</t>
    <rPh sb="0" eb="1">
      <t>ツ</t>
    </rPh>
    <phoneticPr fontId="1"/>
  </si>
  <si>
    <t>床</t>
    <rPh sb="0" eb="1">
      <t>ユカ</t>
    </rPh>
    <phoneticPr fontId="1"/>
  </si>
  <si>
    <t>肌</t>
    <rPh sb="0" eb="1">
      <t>ハダ</t>
    </rPh>
    <phoneticPr fontId="1"/>
  </si>
  <si>
    <t>①ベース点</t>
    <rPh sb="4" eb="5">
      <t>テン</t>
    </rPh>
    <phoneticPr fontId="1"/>
  </si>
  <si>
    <t>②各部位補正</t>
    <rPh sb="1" eb="4">
      <t>カクブイ</t>
    </rPh>
    <rPh sb="4" eb="6">
      <t>ホセイ</t>
    </rPh>
    <phoneticPr fontId="1"/>
  </si>
  <si>
    <t>③　＝　①ベース点　×　②各部位補正</t>
  </si>
  <si>
    <t>④　＝　ステージで要求されるタグ１倍率　×　タグ１の重み付け　×　②各部位補正</t>
  </si>
  <si>
    <t>⑤　＝　ステージで要求されるタグ２倍率　×　タグ２の重み付け　×　②各部位補正</t>
  </si>
  <si>
    <t>发型</t>
    <phoneticPr fontId="1"/>
  </si>
  <si>
    <t>连衣裙</t>
    <phoneticPr fontId="1"/>
  </si>
  <si>
    <t>外套</t>
    <phoneticPr fontId="1"/>
  </si>
  <si>
    <t>下装</t>
    <phoneticPr fontId="1"/>
  </si>
  <si>
    <t>上衣</t>
    <rPh sb="1" eb="2">
      <t>コロモ</t>
    </rPh>
    <phoneticPr fontId="1"/>
  </si>
  <si>
    <t>袜子</t>
    <phoneticPr fontId="1"/>
  </si>
  <si>
    <t>腿饰</t>
    <phoneticPr fontId="1"/>
  </si>
  <si>
    <t>鞋子</t>
    <phoneticPr fontId="1"/>
  </si>
  <si>
    <t>妆容</t>
    <phoneticPr fontId="1"/>
  </si>
  <si>
    <t>萤光之灵</t>
    <phoneticPr fontId="1"/>
  </si>
  <si>
    <t>发饰</t>
    <phoneticPr fontId="1"/>
  </si>
  <si>
    <t>头纱</t>
    <phoneticPr fontId="1"/>
  </si>
  <si>
    <t>发卡</t>
    <phoneticPr fontId="1"/>
  </si>
  <si>
    <t>耳饰</t>
    <phoneticPr fontId="1"/>
  </si>
  <si>
    <t>围巾</t>
    <phoneticPr fontId="1"/>
  </si>
  <si>
    <t>项链</t>
    <phoneticPr fontId="1"/>
  </si>
  <si>
    <t>耳朵</t>
    <phoneticPr fontId="1"/>
  </si>
  <si>
    <r>
      <t>右手</t>
    </r>
    <r>
      <rPr>
        <sz val="11"/>
        <color theme="1"/>
        <rFont val="Microsoft YaHei"/>
        <family val="2"/>
        <charset val="134"/>
      </rPr>
      <t>饰</t>
    </r>
    <rPh sb="0" eb="2">
      <t>ミギテ</t>
    </rPh>
    <phoneticPr fontId="1"/>
  </si>
  <si>
    <r>
      <t>左手</t>
    </r>
    <r>
      <rPr>
        <sz val="11"/>
        <color theme="1"/>
        <rFont val="Microsoft YaHei"/>
        <family val="2"/>
        <charset val="134"/>
      </rPr>
      <t>饰</t>
    </r>
    <rPh sb="0" eb="2">
      <t>ヒダリテ</t>
    </rPh>
    <phoneticPr fontId="1"/>
  </si>
  <si>
    <t>手套</t>
    <phoneticPr fontId="1"/>
  </si>
  <si>
    <t>右手持</t>
    <phoneticPr fontId="1"/>
  </si>
  <si>
    <t>左手持</t>
    <phoneticPr fontId="1"/>
  </si>
  <si>
    <t>双手持</t>
    <rPh sb="0" eb="1">
      <t>ソウ</t>
    </rPh>
    <rPh sb="1" eb="3">
      <t>テモチ</t>
    </rPh>
    <phoneticPr fontId="1"/>
  </si>
  <si>
    <t>腰饰</t>
    <phoneticPr fontId="1"/>
  </si>
  <si>
    <t>皮肤</t>
    <phoneticPr fontId="1"/>
  </si>
  <si>
    <t>面饰</t>
    <phoneticPr fontId="1"/>
  </si>
  <si>
    <t>胸饰</t>
    <phoneticPr fontId="1"/>
  </si>
  <si>
    <t>纹身</t>
    <phoneticPr fontId="1"/>
  </si>
  <si>
    <t>翅膀</t>
    <phoneticPr fontId="1"/>
  </si>
  <si>
    <t>尾巴</t>
    <phoneticPr fontId="1"/>
  </si>
  <si>
    <t>前景</t>
    <rPh sb="0" eb="1">
      <t>マエ</t>
    </rPh>
    <phoneticPr fontId="1"/>
  </si>
  <si>
    <t>前景</t>
    <phoneticPr fontId="1"/>
  </si>
  <si>
    <t>后景</t>
    <phoneticPr fontId="1"/>
  </si>
  <si>
    <t>顶饰</t>
    <phoneticPr fontId="1"/>
  </si>
  <si>
    <t>地面</t>
    <phoneticPr fontId="1"/>
  </si>
  <si>
    <t>参考サイト</t>
    <rPh sb="0" eb="2">
      <t>サンコウ</t>
    </rPh>
    <phoneticPr fontId="1"/>
  </si>
  <si>
    <t>https://nikkijp.github.io/nikkijpch/</t>
    <phoneticPr fontId="1"/>
  </si>
  <si>
    <t>tag1</t>
    <phoneticPr fontId="1"/>
  </si>
  <si>
    <t>tag2</t>
    <phoneticPr fontId="1"/>
  </si>
  <si>
    <t>tag1重付</t>
    <rPh sb="4" eb="6">
      <t>シゲルヅケ</t>
    </rPh>
    <phoneticPr fontId="1"/>
  </si>
  <si>
    <t>tag1倍率</t>
    <rPh sb="4" eb="6">
      <t>バイリツ</t>
    </rPh>
    <phoneticPr fontId="1"/>
  </si>
  <si>
    <t>tag2倍率</t>
    <phoneticPr fontId="1"/>
  </si>
  <si>
    <t>tag2重付</t>
    <phoneticPr fontId="1"/>
  </si>
  <si>
    <t>tag1名</t>
    <rPh sb="4" eb="5">
      <t>メイ</t>
    </rPh>
    <phoneticPr fontId="1"/>
  </si>
  <si>
    <t>tag2名</t>
    <phoneticPr fontId="1"/>
  </si>
  <si>
    <t>その衣装の各属性の点数　＝（③　＋　④　＋　⑤）×　属性の重み付け</t>
    <phoneticPr fontId="1"/>
  </si>
  <si>
    <t>ヴィータの各属性の点数　＝（③　＋　④　＋　⑤）×　属性の重み付け　＋　ヴィータ効果</t>
    <rPh sb="40" eb="42">
      <t>コウカ</t>
    </rPh>
    <phoneticPr fontId="1"/>
  </si>
  <si>
    <t>属性・タグ</t>
    <rPh sb="0" eb="2">
      <t>ゾクセイ</t>
    </rPh>
    <phoneticPr fontId="1"/>
  </si>
  <si>
    <t>倍率</t>
    <rPh sb="0" eb="2">
      <t>バイリツ</t>
    </rPh>
    <phoneticPr fontId="1"/>
  </si>
  <si>
    <t>ステージ選択</t>
    <rPh sb="4" eb="6">
      <t>センタク</t>
    </rPh>
    <phoneticPr fontId="1"/>
  </si>
  <si>
    <t>ステージ</t>
    <phoneticPr fontId="1"/>
  </si>
  <si>
    <t>コロッセオ</t>
  </si>
  <si>
    <t>コロッセオ</t>
    <phoneticPr fontId="1"/>
  </si>
  <si>
    <t>シナリオ（ガール級）</t>
    <rPh sb="8" eb="9">
      <t>キュウ</t>
    </rPh>
    <phoneticPr fontId="1"/>
  </si>
  <si>
    <t>ギルド</t>
    <phoneticPr fontId="1"/>
  </si>
  <si>
    <t>協会</t>
    <rPh sb="0" eb="2">
      <t>キョウカイ</t>
    </rPh>
    <phoneticPr fontId="1"/>
  </si>
  <si>
    <t>所持</t>
    <rPh sb="0" eb="2">
      <t>ショジ</t>
    </rPh>
    <phoneticPr fontId="1"/>
  </si>
  <si>
    <t>No.</t>
    <phoneticPr fontId="1"/>
  </si>
  <si>
    <t>名前（中国語）</t>
    <rPh sb="0" eb="2">
      <t>ナマエ</t>
    </rPh>
    <rPh sb="3" eb="6">
      <t>チュウゴクゴ</t>
    </rPh>
    <phoneticPr fontId="1"/>
  </si>
  <si>
    <t>名前（日本語）</t>
    <rPh sb="0" eb="2">
      <t>ナマエ</t>
    </rPh>
    <rPh sb="3" eb="6">
      <t>ニホンゴ</t>
    </rPh>
    <phoneticPr fontId="1"/>
  </si>
  <si>
    <t>分類</t>
    <rPh sb="0" eb="2">
      <t>ブンルイ</t>
    </rPh>
    <phoneticPr fontId="1"/>
  </si>
  <si>
    <t>レア度</t>
    <rPh sb="2" eb="3">
      <t>ド</t>
    </rPh>
    <phoneticPr fontId="1"/>
  </si>
  <si>
    <t>〇</t>
  </si>
  <si>
    <t>〇</t>
    <phoneticPr fontId="1"/>
  </si>
  <si>
    <t>×</t>
    <phoneticPr fontId="1"/>
  </si>
  <si>
    <t>薄紅色ロング</t>
    <phoneticPr fontId="1"/>
  </si>
  <si>
    <r>
      <t>默</t>
    </r>
    <r>
      <rPr>
        <sz val="11"/>
        <color theme="1"/>
        <rFont val="Microsoft YaHei"/>
        <family val="2"/>
        <charset val="134"/>
      </rPr>
      <t>认</t>
    </r>
    <r>
      <rPr>
        <sz val="11"/>
        <color theme="1"/>
        <rFont val="GulimChe"/>
        <family val="2"/>
        <charset val="129"/>
      </rPr>
      <t>粉毛</t>
    </r>
    <phoneticPr fontId="1"/>
  </si>
  <si>
    <t>計算</t>
    <rPh sb="0" eb="2">
      <t>ケイサン</t>
    </rPh>
    <phoneticPr fontId="1"/>
  </si>
  <si>
    <t>点数</t>
    <rPh sb="0" eb="2">
      <t>テンスウ</t>
    </rPh>
    <phoneticPr fontId="1"/>
  </si>
  <si>
    <t>点数</t>
    <phoneticPr fontId="1"/>
  </si>
  <si>
    <t>gi1-1</t>
    <phoneticPr fontId="1"/>
  </si>
  <si>
    <t>pr1-1</t>
    <phoneticPr fontId="1"/>
  </si>
  <si>
    <t>シナリオ（プリンセス級）</t>
    <rPh sb="10" eb="11">
      <t>キュウ</t>
    </rPh>
    <phoneticPr fontId="1"/>
  </si>
  <si>
    <t>ギルド</t>
    <phoneticPr fontId="1"/>
  </si>
  <si>
    <t>g</t>
    <phoneticPr fontId="1"/>
  </si>
  <si>
    <t>g1-1</t>
    <phoneticPr fontId="1"/>
  </si>
  <si>
    <t>ギルド戦</t>
    <rPh sb="3" eb="4">
      <t>セン</t>
    </rPh>
    <phoneticPr fontId="1"/>
  </si>
  <si>
    <t>gf</t>
    <phoneticPr fontId="1"/>
  </si>
  <si>
    <t>gf-</t>
    <phoneticPr fontId="1"/>
  </si>
  <si>
    <t>ギルド戦</t>
    <rPh sb="3" eb="4">
      <t>セン</t>
    </rPh>
    <phoneticPr fontId="1"/>
  </si>
  <si>
    <t>e</t>
    <phoneticPr fontId="1"/>
  </si>
  <si>
    <t>「計算」ボタンをクリックすると、「出力」タブに降順でおすすめコーデを出力します。</t>
    <rPh sb="1" eb="3">
      <t>ケイサン</t>
    </rPh>
    <rPh sb="17" eb="19">
      <t>シュツリョク</t>
    </rPh>
    <rPh sb="23" eb="25">
      <t>コウジュン</t>
    </rPh>
    <rPh sb="34" eb="36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</si>
</sst>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u/>
      <sz val="20"/>
      <color theme="1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  <font>
      <sz val="11"/>
      <color rgb="FF000000"/>
      <name val="MS PGothic"/>
      <family val="3"/>
    </font>
    <font>
      <sz val="11"/>
      <color rgb="FF000000"/>
      <name val="Microsoft YaHei"/>
      <family val="3"/>
      <charset val="134"/>
    </font>
    <font>
      <b/>
      <u/>
      <sz val="14"/>
      <color theme="1"/>
      <name val="Yu Gothic"/>
      <family val="3"/>
      <charset val="128"/>
      <scheme val="minor"/>
    </font>
    <font>
      <sz val="10"/>
      <name val="Yu Gothic"/>
      <family val="2"/>
      <charset val="128"/>
    </font>
    <font>
      <sz val="11"/>
      <name val="Microsoft YaHei"/>
      <family val="2"/>
      <charset val="134"/>
    </font>
    <font>
      <sz val="11"/>
      <color theme="1"/>
      <name val="Microsoft YaHei"/>
      <family val="2"/>
      <charset val="128"/>
    </font>
    <font>
      <b/>
      <sz val="12"/>
      <color theme="1"/>
      <name val="Yu Gothic"/>
      <family val="3"/>
      <charset val="128"/>
      <scheme val="minor"/>
    </font>
    <font>
      <b/>
      <sz val="12"/>
      <color theme="1"/>
      <name val="Microsoft YaHei"/>
      <family val="2"/>
      <charset val="134"/>
    </font>
    <font>
      <sz val="12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GulimChe"/>
      <family val="3"/>
      <charset val="129"/>
    </font>
    <font>
      <sz val="11"/>
      <color theme="1"/>
      <name val="GulimChe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1" fillId="0" borderId="0" xfId="0" applyFont="1"/>
    <xf numFmtId="0" fontId="14" fillId="0" borderId="0" xfId="1"/>
    <xf numFmtId="0" fontId="0" fillId="0" borderId="0" xfId="0" applyAlignment="1">
      <alignment horizontal="left"/>
    </xf>
    <xf numFmtId="0" fontId="15" fillId="0" borderId="0" xfId="0" applyFont="1"/>
    <xf numFmtId="0" fontId="13" fillId="0" borderId="0" xfId="0" applyFont="1" applyAlignment="1">
      <alignment vertical="center"/>
    </xf>
    <xf numFmtId="0" fontId="0" fillId="0" borderId="1" xfId="0" applyBorder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ikkijp.github.io/nikkijpch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workbookViewId="0">
      <selection activeCell="A74" sqref="A74"/>
    </sheetView>
  </sheetViews>
  <sheetFormatPr defaultRowHeight="18.75"/>
  <cols>
    <col min="1" max="1" width="12.5" customWidth="1"/>
    <col min="2" max="2" width="17.625" customWidth="1"/>
    <col min="5" max="5" width="25.25" customWidth="1"/>
  </cols>
  <sheetData>
    <row r="1" spans="1:8" ht="33">
      <c r="A1" s="1" t="s">
        <v>0</v>
      </c>
    </row>
    <row r="3" spans="1:8">
      <c r="A3" t="s">
        <v>1</v>
      </c>
    </row>
    <row r="5" spans="1:8" ht="24">
      <c r="A5" s="3" t="s">
        <v>2</v>
      </c>
      <c r="E5" s="3" t="s">
        <v>93</v>
      </c>
      <c r="H5" s="3" t="s">
        <v>265</v>
      </c>
    </row>
    <row r="7" spans="1:8" ht="19.5">
      <c r="A7" s="4" t="s">
        <v>3</v>
      </c>
      <c r="B7" s="4" t="s">
        <v>4</v>
      </c>
      <c r="C7" s="4" t="s">
        <v>5</v>
      </c>
      <c r="E7" s="13" t="s">
        <v>225</v>
      </c>
      <c r="H7" s="14" t="s">
        <v>266</v>
      </c>
    </row>
    <row r="8" spans="1:8">
      <c r="A8" s="4" t="s">
        <v>7</v>
      </c>
      <c r="B8" s="4" t="s">
        <v>6</v>
      </c>
      <c r="C8" s="4" t="s">
        <v>10</v>
      </c>
      <c r="E8" s="4" t="s">
        <v>26</v>
      </c>
      <c r="F8" s="4">
        <v>3200</v>
      </c>
    </row>
    <row r="9" spans="1:8">
      <c r="A9" s="4" t="s">
        <v>8</v>
      </c>
      <c r="B9" s="4" t="s">
        <v>9</v>
      </c>
      <c r="C9" s="4" t="s">
        <v>11</v>
      </c>
      <c r="E9" s="4" t="s">
        <v>27</v>
      </c>
      <c r="F9" s="4">
        <v>2612.6999999999998</v>
      </c>
    </row>
    <row r="10" spans="1:8">
      <c r="A10" s="4"/>
      <c r="B10" s="4" t="s">
        <v>303</v>
      </c>
      <c r="C10" s="4" t="s">
        <v>304</v>
      </c>
      <c r="E10" s="4" t="s">
        <v>28</v>
      </c>
      <c r="F10" s="4">
        <v>2089.35</v>
      </c>
    </row>
    <row r="11" spans="1:8">
      <c r="A11" s="4"/>
      <c r="B11" s="4" t="s">
        <v>306</v>
      </c>
      <c r="C11" s="4" t="s">
        <v>307</v>
      </c>
      <c r="E11" s="4" t="s">
        <v>29</v>
      </c>
      <c r="F11" s="4">
        <v>1690.65</v>
      </c>
    </row>
    <row r="12" spans="1:8">
      <c r="A12" s="4"/>
      <c r="B12" s="4"/>
      <c r="C12" s="4"/>
      <c r="E12" s="4" t="s">
        <v>30</v>
      </c>
      <c r="F12" s="4">
        <v>1309.8</v>
      </c>
    </row>
    <row r="13" spans="1:8">
      <c r="A13" s="4" t="s">
        <v>12</v>
      </c>
      <c r="B13" s="4" t="s">
        <v>15</v>
      </c>
      <c r="C13" s="4" t="s">
        <v>26</v>
      </c>
      <c r="E13" s="4" t="s">
        <v>31</v>
      </c>
      <c r="F13" s="4">
        <v>817.5</v>
      </c>
    </row>
    <row r="14" spans="1:8">
      <c r="A14" s="4" t="s">
        <v>13</v>
      </c>
      <c r="B14" s="4" t="s">
        <v>16</v>
      </c>
      <c r="C14" s="4" t="s">
        <v>27</v>
      </c>
      <c r="E14" s="4" t="s">
        <v>32</v>
      </c>
      <c r="F14" s="4">
        <v>0</v>
      </c>
    </row>
    <row r="15" spans="1:8">
      <c r="A15" s="4" t="s">
        <v>14</v>
      </c>
      <c r="B15" s="4" t="s">
        <v>16</v>
      </c>
      <c r="C15" s="4" t="s">
        <v>28</v>
      </c>
    </row>
    <row r="16" spans="1:8" ht="19.5">
      <c r="A16" s="5" t="s">
        <v>17</v>
      </c>
      <c r="B16" s="4" t="s">
        <v>20</v>
      </c>
      <c r="C16" s="4" t="s">
        <v>29</v>
      </c>
      <c r="E16" s="13" t="s">
        <v>226</v>
      </c>
    </row>
    <row r="17" spans="1:6">
      <c r="A17" s="6" t="s">
        <v>18</v>
      </c>
      <c r="B17" s="4" t="s">
        <v>21</v>
      </c>
      <c r="C17" s="4" t="s">
        <v>30</v>
      </c>
      <c r="E17" s="4" t="s">
        <v>192</v>
      </c>
      <c r="F17" s="4">
        <v>0.5</v>
      </c>
    </row>
    <row r="18" spans="1:6">
      <c r="A18" s="4" t="s">
        <v>19</v>
      </c>
      <c r="B18" s="4" t="s">
        <v>22</v>
      </c>
      <c r="C18" s="4" t="s">
        <v>31</v>
      </c>
      <c r="E18" s="4" t="s">
        <v>193</v>
      </c>
      <c r="F18" s="4">
        <v>2</v>
      </c>
    </row>
    <row r="19" spans="1:6">
      <c r="A19" s="4" t="s">
        <v>23</v>
      </c>
      <c r="B19" s="4" t="s">
        <v>23</v>
      </c>
      <c r="C19" s="4" t="s">
        <v>32</v>
      </c>
      <c r="E19" s="4" t="s">
        <v>194</v>
      </c>
      <c r="F19" s="4">
        <v>0.2</v>
      </c>
    </row>
    <row r="20" spans="1:6">
      <c r="A20" s="4"/>
      <c r="B20" s="4"/>
      <c r="C20" s="4"/>
      <c r="E20" s="4" t="s">
        <v>195</v>
      </c>
      <c r="F20" s="4">
        <v>1</v>
      </c>
    </row>
    <row r="21" spans="1:6" ht="19.5">
      <c r="A21" s="11" t="s">
        <v>84</v>
      </c>
      <c r="B21" s="4"/>
      <c r="C21" s="4"/>
      <c r="E21" s="4" t="s">
        <v>196</v>
      </c>
      <c r="F21" s="4">
        <v>1</v>
      </c>
    </row>
    <row r="22" spans="1:6">
      <c r="A22" s="6" t="s">
        <v>24</v>
      </c>
      <c r="B22" s="4" t="s">
        <v>48</v>
      </c>
      <c r="C22" s="4" t="s">
        <v>25</v>
      </c>
      <c r="E22" s="4" t="s">
        <v>197</v>
      </c>
      <c r="F22" s="4">
        <v>0.3</v>
      </c>
    </row>
    <row r="23" spans="1:6">
      <c r="A23" s="6" t="s">
        <v>33</v>
      </c>
      <c r="B23" s="4" t="s">
        <v>49</v>
      </c>
      <c r="C23" s="4" t="s">
        <v>36</v>
      </c>
      <c r="E23" s="4" t="s">
        <v>198</v>
      </c>
      <c r="F23" s="4">
        <v>0.3</v>
      </c>
    </row>
    <row r="24" spans="1:6">
      <c r="A24" s="6" t="s">
        <v>34</v>
      </c>
      <c r="B24" s="4" t="s">
        <v>50</v>
      </c>
      <c r="C24" s="4" t="s">
        <v>37</v>
      </c>
      <c r="E24" s="4" t="s">
        <v>199</v>
      </c>
      <c r="F24" s="4">
        <v>0.4</v>
      </c>
    </row>
    <row r="25" spans="1:6">
      <c r="A25" s="7" t="s">
        <v>35</v>
      </c>
      <c r="B25" s="4" t="s">
        <v>51</v>
      </c>
      <c r="C25" s="4" t="s">
        <v>38</v>
      </c>
      <c r="E25" s="4" t="s">
        <v>200</v>
      </c>
      <c r="F25" s="4">
        <v>0.1</v>
      </c>
    </row>
    <row r="26" spans="1:6">
      <c r="A26" s="7" t="s">
        <v>59</v>
      </c>
      <c r="B26" s="4" t="s">
        <v>52</v>
      </c>
      <c r="C26" s="4" t="s">
        <v>39</v>
      </c>
      <c r="E26" s="4" t="s">
        <v>201</v>
      </c>
      <c r="F26" s="4">
        <v>1</v>
      </c>
    </row>
    <row r="27" spans="1:6">
      <c r="A27" s="6" t="s">
        <v>40</v>
      </c>
      <c r="B27" s="4" t="s">
        <v>53</v>
      </c>
      <c r="C27" s="4" t="s">
        <v>41</v>
      </c>
      <c r="E27" s="4" t="s">
        <v>202</v>
      </c>
      <c r="F27" s="4">
        <v>0.2</v>
      </c>
    </row>
    <row r="28" spans="1:6">
      <c r="A28" s="6" t="s">
        <v>60</v>
      </c>
      <c r="B28" s="4" t="s">
        <v>54</v>
      </c>
      <c r="C28" s="4" t="s">
        <v>42</v>
      </c>
      <c r="E28" s="4" t="s">
        <v>203</v>
      </c>
      <c r="F28" s="4">
        <v>0.2</v>
      </c>
    </row>
    <row r="29" spans="1:6">
      <c r="A29" s="6" t="s">
        <v>43</v>
      </c>
      <c r="B29" s="4" t="s">
        <v>55</v>
      </c>
      <c r="C29" s="4" t="s">
        <v>44</v>
      </c>
      <c r="E29" s="4" t="s">
        <v>204</v>
      </c>
      <c r="F29" s="4">
        <v>0.2</v>
      </c>
    </row>
    <row r="30" spans="1:6">
      <c r="A30" s="6" t="s">
        <v>58</v>
      </c>
      <c r="B30" s="4" t="s">
        <v>56</v>
      </c>
      <c r="C30" s="4" t="s">
        <v>45</v>
      </c>
      <c r="E30" s="4" t="s">
        <v>205</v>
      </c>
      <c r="F30" s="4">
        <v>0.2</v>
      </c>
    </row>
    <row r="31" spans="1:6">
      <c r="A31" s="6" t="s">
        <v>46</v>
      </c>
      <c r="B31" s="4" t="s">
        <v>57</v>
      </c>
      <c r="C31" s="4" t="s">
        <v>47</v>
      </c>
      <c r="E31" s="4" t="s">
        <v>206</v>
      </c>
      <c r="F31" s="4">
        <v>0.2</v>
      </c>
    </row>
    <row r="32" spans="1:6">
      <c r="A32" s="6"/>
      <c r="B32" s="4"/>
      <c r="C32" s="4"/>
      <c r="E32" s="4" t="s">
        <v>207</v>
      </c>
      <c r="F32" s="4">
        <v>0.2</v>
      </c>
    </row>
    <row r="33" spans="1:6">
      <c r="A33" s="12" t="s">
        <v>85</v>
      </c>
      <c r="B33" s="4"/>
      <c r="C33" s="4"/>
      <c r="E33" s="4" t="s">
        <v>208</v>
      </c>
      <c r="F33" s="4">
        <v>0.2</v>
      </c>
    </row>
    <row r="34" spans="1:6">
      <c r="A34" s="6" t="s">
        <v>82</v>
      </c>
      <c r="B34" s="4" t="s">
        <v>129</v>
      </c>
      <c r="C34" s="4"/>
      <c r="E34" s="4" t="s">
        <v>209</v>
      </c>
      <c r="F34" s="4">
        <v>0.2</v>
      </c>
    </row>
    <row r="35" spans="1:6">
      <c r="A35" s="6" t="s">
        <v>83</v>
      </c>
      <c r="B35" s="4" t="s">
        <v>130</v>
      </c>
      <c r="C35" s="4"/>
      <c r="E35" s="4" t="s">
        <v>210</v>
      </c>
      <c r="F35" s="4">
        <v>0.2</v>
      </c>
    </row>
    <row r="36" spans="1:6">
      <c r="A36" s="6" t="s">
        <v>86</v>
      </c>
      <c r="B36" s="4" t="s">
        <v>131</v>
      </c>
      <c r="C36" s="4"/>
      <c r="E36" s="4" t="s">
        <v>211</v>
      </c>
      <c r="F36" s="4">
        <v>0.2</v>
      </c>
    </row>
    <row r="37" spans="1:6">
      <c r="A37" s="6" t="s">
        <v>87</v>
      </c>
      <c r="B37" s="4" t="s">
        <v>132</v>
      </c>
      <c r="C37" s="4"/>
      <c r="E37" s="4" t="s">
        <v>212</v>
      </c>
      <c r="F37" s="4">
        <v>0.2</v>
      </c>
    </row>
    <row r="38" spans="1:6">
      <c r="A38" s="6" t="s">
        <v>88</v>
      </c>
      <c r="B38" s="4" t="s">
        <v>133</v>
      </c>
      <c r="C38" s="4"/>
      <c r="E38" s="4" t="s">
        <v>213</v>
      </c>
      <c r="F38" s="4">
        <v>0.2</v>
      </c>
    </row>
    <row r="39" spans="1:6">
      <c r="A39" s="6" t="s">
        <v>89</v>
      </c>
      <c r="B39" s="4" t="s">
        <v>134</v>
      </c>
      <c r="C39" s="4"/>
      <c r="E39" s="4" t="s">
        <v>215</v>
      </c>
      <c r="F39" s="4">
        <v>0.2</v>
      </c>
    </row>
    <row r="40" spans="1:6">
      <c r="A40" s="6" t="s">
        <v>90</v>
      </c>
      <c r="B40" s="4" t="s">
        <v>135</v>
      </c>
      <c r="C40" s="4"/>
      <c r="E40" s="4" t="s">
        <v>214</v>
      </c>
      <c r="F40" s="4">
        <v>0.2</v>
      </c>
    </row>
    <row r="41" spans="1:6">
      <c r="A41" s="6" t="s">
        <v>91</v>
      </c>
      <c r="B41" s="4" t="s">
        <v>136</v>
      </c>
      <c r="C41" s="4"/>
      <c r="E41" s="4" t="s">
        <v>224</v>
      </c>
      <c r="F41" s="4">
        <v>0.2</v>
      </c>
    </row>
    <row r="42" spans="1:6">
      <c r="A42" s="6" t="s">
        <v>92</v>
      </c>
      <c r="B42" s="4" t="s">
        <v>137</v>
      </c>
      <c r="C42" s="4"/>
      <c r="E42" s="4" t="s">
        <v>216</v>
      </c>
      <c r="F42" s="4">
        <v>0.2</v>
      </c>
    </row>
    <row r="43" spans="1:6">
      <c r="A43" s="6" t="s">
        <v>94</v>
      </c>
      <c r="B43" s="4" t="s">
        <v>138</v>
      </c>
      <c r="C43" s="4"/>
      <c r="E43" s="4" t="s">
        <v>217</v>
      </c>
      <c r="F43" s="4">
        <v>0.2</v>
      </c>
    </row>
    <row r="44" spans="1:6">
      <c r="A44" s="6" t="s">
        <v>95</v>
      </c>
      <c r="B44" s="4" t="s">
        <v>139</v>
      </c>
      <c r="C44" s="4"/>
      <c r="E44" s="4" t="s">
        <v>218</v>
      </c>
      <c r="F44" s="4">
        <v>0.2</v>
      </c>
    </row>
    <row r="45" spans="1:6">
      <c r="A45" s="6" t="s">
        <v>96</v>
      </c>
      <c r="B45" s="4" t="s">
        <v>140</v>
      </c>
      <c r="C45" s="4"/>
      <c r="E45" s="4" t="s">
        <v>219</v>
      </c>
      <c r="F45" s="4">
        <v>0.2</v>
      </c>
    </row>
    <row r="46" spans="1:6">
      <c r="A46" s="6" t="s">
        <v>97</v>
      </c>
      <c r="B46" s="4" t="s">
        <v>141</v>
      </c>
      <c r="C46" s="4"/>
      <c r="E46" s="4" t="s">
        <v>220</v>
      </c>
      <c r="F46" s="4">
        <v>0.2</v>
      </c>
    </row>
    <row r="47" spans="1:6">
      <c r="A47" s="8" t="s">
        <v>98</v>
      </c>
      <c r="B47" s="4" t="s">
        <v>142</v>
      </c>
      <c r="C47" s="4"/>
      <c r="E47" s="4" t="s">
        <v>260</v>
      </c>
      <c r="F47" s="4">
        <v>0.2</v>
      </c>
    </row>
    <row r="48" spans="1:6">
      <c r="A48" s="6" t="s">
        <v>99</v>
      </c>
      <c r="B48" s="4" t="s">
        <v>143</v>
      </c>
      <c r="C48" s="4"/>
      <c r="E48" s="4" t="s">
        <v>221</v>
      </c>
      <c r="F48" s="4">
        <v>0.2</v>
      </c>
    </row>
    <row r="49" spans="1:12">
      <c r="A49" s="6" t="s">
        <v>100</v>
      </c>
      <c r="B49" s="4" t="s">
        <v>144</v>
      </c>
      <c r="C49" s="4"/>
      <c r="E49" s="4" t="s">
        <v>222</v>
      </c>
      <c r="F49" s="4">
        <v>0.2</v>
      </c>
    </row>
    <row r="50" spans="1:12">
      <c r="A50" s="6" t="s">
        <v>101</v>
      </c>
      <c r="B50" s="4" t="s">
        <v>145</v>
      </c>
      <c r="C50" s="4"/>
      <c r="E50" s="4" t="s">
        <v>223</v>
      </c>
      <c r="F50" s="4">
        <v>0.2</v>
      </c>
    </row>
    <row r="51" spans="1:12">
      <c r="A51" s="6" t="s">
        <v>102</v>
      </c>
      <c r="B51" s="4" t="s">
        <v>146</v>
      </c>
      <c r="C51" s="4"/>
    </row>
    <row r="52" spans="1:12" ht="19.5">
      <c r="A52" s="6" t="s">
        <v>103</v>
      </c>
      <c r="B52" s="4" t="s">
        <v>147</v>
      </c>
      <c r="C52" s="4"/>
      <c r="E52" s="17" t="s">
        <v>227</v>
      </c>
    </row>
    <row r="53" spans="1:12" ht="19.5">
      <c r="A53" s="6" t="s">
        <v>104</v>
      </c>
      <c r="B53" s="4" t="s">
        <v>148</v>
      </c>
      <c r="C53" s="4"/>
      <c r="E53" s="17" t="s">
        <v>228</v>
      </c>
    </row>
    <row r="54" spans="1:12" ht="19.5">
      <c r="A54" s="6" t="s">
        <v>105</v>
      </c>
      <c r="B54" s="4" t="s">
        <v>150</v>
      </c>
      <c r="C54" s="4"/>
      <c r="E54" s="17" t="s">
        <v>229</v>
      </c>
    </row>
    <row r="55" spans="1:12" ht="19.5">
      <c r="A55" s="6" t="s">
        <v>106</v>
      </c>
      <c r="B55" s="4" t="s">
        <v>151</v>
      </c>
      <c r="C55" s="4"/>
      <c r="E55" s="17" t="s">
        <v>275</v>
      </c>
    </row>
    <row r="56" spans="1:12" ht="19.5">
      <c r="A56" s="6" t="s">
        <v>107</v>
      </c>
      <c r="B56" s="4" t="s">
        <v>152</v>
      </c>
      <c r="C56" s="4"/>
      <c r="E56" s="17" t="s">
        <v>276</v>
      </c>
    </row>
    <row r="57" spans="1:12">
      <c r="A57" s="6" t="s">
        <v>108</v>
      </c>
      <c r="B57" s="4" t="s">
        <v>153</v>
      </c>
      <c r="C57" s="4"/>
    </row>
    <row r="58" spans="1:12">
      <c r="A58" s="6" t="s">
        <v>109</v>
      </c>
      <c r="B58" s="4" t="s">
        <v>154</v>
      </c>
      <c r="C58" s="4"/>
    </row>
    <row r="59" spans="1:12">
      <c r="A59" s="6" t="s">
        <v>110</v>
      </c>
      <c r="B59" s="4" t="s">
        <v>155</v>
      </c>
      <c r="C59" s="4"/>
    </row>
    <row r="60" spans="1:12" ht="24">
      <c r="A60" s="6" t="s">
        <v>111</v>
      </c>
      <c r="B60" s="4" t="s">
        <v>156</v>
      </c>
      <c r="C60" s="4"/>
      <c r="E60" s="3" t="s">
        <v>280</v>
      </c>
    </row>
    <row r="61" spans="1:12">
      <c r="A61" s="6" t="s">
        <v>112</v>
      </c>
      <c r="B61" s="4" t="s">
        <v>157</v>
      </c>
      <c r="C61" s="4"/>
    </row>
    <row r="62" spans="1:12">
      <c r="A62" s="6" t="s">
        <v>113</v>
      </c>
      <c r="B62" s="4" t="s">
        <v>149</v>
      </c>
      <c r="C62" s="4"/>
      <c r="E62" s="4" t="s">
        <v>282</v>
      </c>
      <c r="G62" s="4" t="s">
        <v>293</v>
      </c>
      <c r="I62" s="4" t="s">
        <v>300</v>
      </c>
      <c r="J62" s="4" t="s">
        <v>301</v>
      </c>
      <c r="K62" s="4" t="s">
        <v>305</v>
      </c>
      <c r="L62" s="4" t="s">
        <v>308</v>
      </c>
    </row>
    <row r="63" spans="1:12">
      <c r="A63" s="6" t="s">
        <v>114</v>
      </c>
      <c r="B63" s="4" t="s">
        <v>158</v>
      </c>
      <c r="C63" s="4"/>
      <c r="E63" s="4" t="s">
        <v>283</v>
      </c>
      <c r="G63" s="4" t="s">
        <v>294</v>
      </c>
    </row>
    <row r="64" spans="1:12">
      <c r="A64" s="6" t="s">
        <v>115</v>
      </c>
      <c r="B64" s="4" t="s">
        <v>159</v>
      </c>
      <c r="C64" s="4"/>
      <c r="E64" s="4" t="s">
        <v>302</v>
      </c>
    </row>
    <row r="65" spans="1:5">
      <c r="A65" s="6" t="s">
        <v>116</v>
      </c>
      <c r="B65" s="4" t="s">
        <v>160</v>
      </c>
      <c r="C65" s="4"/>
      <c r="E65" s="4" t="s">
        <v>284</v>
      </c>
    </row>
    <row r="66" spans="1:5">
      <c r="A66" s="6" t="s">
        <v>117</v>
      </c>
      <c r="B66" s="4" t="s">
        <v>161</v>
      </c>
      <c r="C66" s="4"/>
      <c r="E66" s="4" t="s">
        <v>309</v>
      </c>
    </row>
    <row r="67" spans="1:5">
      <c r="A67" s="6" t="s">
        <v>118</v>
      </c>
      <c r="B67" s="4" t="s">
        <v>162</v>
      </c>
      <c r="C67" s="4"/>
      <c r="E67" s="4" t="s">
        <v>285</v>
      </c>
    </row>
    <row r="68" spans="1:5">
      <c r="A68" s="6" t="s">
        <v>119</v>
      </c>
      <c r="B68" s="4" t="s">
        <v>163</v>
      </c>
      <c r="C68" s="4"/>
    </row>
    <row r="69" spans="1:5">
      <c r="A69" s="6" t="s">
        <v>120</v>
      </c>
      <c r="B69" s="4" t="s">
        <v>164</v>
      </c>
      <c r="C69" s="4"/>
    </row>
    <row r="70" spans="1:5">
      <c r="A70" s="6" t="s">
        <v>121</v>
      </c>
      <c r="B70" s="4" t="s">
        <v>165</v>
      </c>
      <c r="C70" s="4"/>
    </row>
    <row r="71" spans="1:5">
      <c r="A71" s="6" t="s">
        <v>122</v>
      </c>
      <c r="B71" s="4" t="s">
        <v>166</v>
      </c>
      <c r="C71" s="4"/>
    </row>
    <row r="72" spans="1:5">
      <c r="A72" s="6" t="s">
        <v>123</v>
      </c>
      <c r="B72" s="4" t="s">
        <v>167</v>
      </c>
      <c r="C72" s="4"/>
    </row>
    <row r="73" spans="1:5">
      <c r="A73" s="6" t="s">
        <v>124</v>
      </c>
      <c r="B73" s="4" t="s">
        <v>168</v>
      </c>
      <c r="C73" s="4"/>
    </row>
    <row r="74" spans="1:5">
      <c r="A74" s="6" t="s">
        <v>125</v>
      </c>
      <c r="B74" s="4" t="s">
        <v>169</v>
      </c>
      <c r="C74" s="4"/>
    </row>
    <row r="75" spans="1:5">
      <c r="A75" s="6" t="s">
        <v>126</v>
      </c>
      <c r="B75" s="4" t="s">
        <v>170</v>
      </c>
      <c r="C75" s="4"/>
    </row>
    <row r="76" spans="1:5">
      <c r="A76" s="6" t="s">
        <v>127</v>
      </c>
      <c r="B76" s="4" t="s">
        <v>171</v>
      </c>
      <c r="C76" s="4"/>
    </row>
    <row r="77" spans="1:5">
      <c r="A77" s="9" t="s">
        <v>128</v>
      </c>
      <c r="B77" s="4" t="s">
        <v>172</v>
      </c>
      <c r="C77" s="4"/>
    </row>
    <row r="78" spans="1:5">
      <c r="A78" s="4"/>
      <c r="B78" s="4"/>
      <c r="C78" s="4"/>
    </row>
    <row r="79" spans="1:5">
      <c r="A79" s="12" t="s">
        <v>191</v>
      </c>
      <c r="B79" s="4"/>
      <c r="C79" s="4"/>
    </row>
    <row r="80" spans="1:5">
      <c r="A80" s="6" t="s">
        <v>230</v>
      </c>
      <c r="B80" s="4" t="s">
        <v>192</v>
      </c>
      <c r="C80" s="4"/>
    </row>
    <row r="81" spans="1:3">
      <c r="A81" s="6" t="s">
        <v>231</v>
      </c>
      <c r="B81" s="4" t="s">
        <v>193</v>
      </c>
      <c r="C81" s="4"/>
    </row>
    <row r="82" spans="1:3">
      <c r="A82" s="6" t="s">
        <v>232</v>
      </c>
      <c r="B82" s="4" t="s">
        <v>194</v>
      </c>
      <c r="C82" s="4"/>
    </row>
    <row r="83" spans="1:3">
      <c r="A83" s="6" t="s">
        <v>234</v>
      </c>
      <c r="B83" s="4" t="s">
        <v>195</v>
      </c>
      <c r="C83" s="4"/>
    </row>
    <row r="84" spans="1:3">
      <c r="A84" s="6" t="s">
        <v>233</v>
      </c>
      <c r="B84" s="4" t="s">
        <v>196</v>
      </c>
      <c r="C84" s="4"/>
    </row>
    <row r="85" spans="1:3">
      <c r="A85" s="6" t="s">
        <v>236</v>
      </c>
      <c r="B85" s="4" t="s">
        <v>197</v>
      </c>
      <c r="C85" s="4"/>
    </row>
    <row r="86" spans="1:3">
      <c r="A86" s="6" t="s">
        <v>235</v>
      </c>
      <c r="B86" s="4" t="s">
        <v>198</v>
      </c>
      <c r="C86" s="4"/>
    </row>
    <row r="87" spans="1:3">
      <c r="A87" s="6" t="s">
        <v>237</v>
      </c>
      <c r="B87" s="4" t="s">
        <v>199</v>
      </c>
      <c r="C87" s="4"/>
    </row>
    <row r="88" spans="1:3">
      <c r="A88" s="6" t="s">
        <v>238</v>
      </c>
      <c r="B88" s="4" t="s">
        <v>200</v>
      </c>
      <c r="C88" s="4"/>
    </row>
    <row r="89" spans="1:3">
      <c r="A89" s="6" t="s">
        <v>239</v>
      </c>
      <c r="B89" s="4" t="s">
        <v>201</v>
      </c>
      <c r="C89" s="4"/>
    </row>
    <row r="90" spans="1:3">
      <c r="A90" s="6" t="s">
        <v>240</v>
      </c>
      <c r="B90" s="4" t="s">
        <v>202</v>
      </c>
      <c r="C90" s="4"/>
    </row>
    <row r="91" spans="1:3">
      <c r="A91" s="6" t="s">
        <v>241</v>
      </c>
      <c r="B91" s="4" t="s">
        <v>203</v>
      </c>
      <c r="C91" s="4"/>
    </row>
    <row r="92" spans="1:3">
      <c r="A92" s="6" t="s">
        <v>242</v>
      </c>
      <c r="B92" s="4" t="s">
        <v>204</v>
      </c>
      <c r="C92" s="4"/>
    </row>
    <row r="93" spans="1:3">
      <c r="A93" s="6" t="s">
        <v>246</v>
      </c>
      <c r="B93" s="4" t="s">
        <v>205</v>
      </c>
      <c r="C93" s="4"/>
    </row>
    <row r="94" spans="1:3">
      <c r="A94" s="6" t="s">
        <v>243</v>
      </c>
      <c r="B94" s="4" t="s">
        <v>206</v>
      </c>
      <c r="C94" s="4"/>
    </row>
    <row r="95" spans="1:3">
      <c r="A95" s="6" t="s">
        <v>244</v>
      </c>
      <c r="B95" s="4" t="s">
        <v>207</v>
      </c>
      <c r="C95" s="4"/>
    </row>
    <row r="96" spans="1:3">
      <c r="A96" s="6" t="s">
        <v>245</v>
      </c>
      <c r="B96" s="4" t="s">
        <v>208</v>
      </c>
      <c r="C96" s="4"/>
    </row>
    <row r="97" spans="1:3">
      <c r="A97" s="4" t="s">
        <v>247</v>
      </c>
      <c r="B97" s="4" t="s">
        <v>209</v>
      </c>
      <c r="C97" s="4"/>
    </row>
    <row r="98" spans="1:3">
      <c r="A98" s="4" t="s">
        <v>248</v>
      </c>
      <c r="B98" s="4" t="s">
        <v>210</v>
      </c>
      <c r="C98" s="4"/>
    </row>
    <row r="99" spans="1:3">
      <c r="A99" s="10" t="s">
        <v>249</v>
      </c>
      <c r="B99" s="4" t="s">
        <v>211</v>
      </c>
      <c r="C99" s="4"/>
    </row>
    <row r="100" spans="1:3">
      <c r="A100" s="4" t="s">
        <v>250</v>
      </c>
      <c r="B100" s="4" t="s">
        <v>212</v>
      </c>
      <c r="C100" s="4"/>
    </row>
    <row r="101" spans="1:3">
      <c r="A101" s="4" t="s">
        <v>251</v>
      </c>
      <c r="B101" s="4" t="s">
        <v>213</v>
      </c>
      <c r="C101" s="4"/>
    </row>
    <row r="102" spans="1:3">
      <c r="A102" s="4" t="s">
        <v>252</v>
      </c>
      <c r="B102" s="4" t="s">
        <v>215</v>
      </c>
      <c r="C102" s="4"/>
    </row>
    <row r="103" spans="1:3">
      <c r="A103" s="6" t="s">
        <v>253</v>
      </c>
      <c r="B103" s="4" t="s">
        <v>214</v>
      </c>
      <c r="C103" s="4"/>
    </row>
    <row r="104" spans="1:3">
      <c r="A104" s="4" t="s">
        <v>254</v>
      </c>
      <c r="B104" s="4" t="s">
        <v>224</v>
      </c>
      <c r="C104" s="4"/>
    </row>
    <row r="105" spans="1:3">
      <c r="A105" s="6" t="s">
        <v>255</v>
      </c>
      <c r="B105" s="4" t="s">
        <v>216</v>
      </c>
      <c r="C105" s="4"/>
    </row>
    <row r="106" spans="1:3">
      <c r="A106" s="6" t="s">
        <v>256</v>
      </c>
      <c r="B106" s="4" t="s">
        <v>217</v>
      </c>
      <c r="C106" s="4"/>
    </row>
    <row r="107" spans="1:3">
      <c r="A107" s="6" t="s">
        <v>257</v>
      </c>
      <c r="B107" s="4" t="s">
        <v>218</v>
      </c>
      <c r="C107" s="4"/>
    </row>
    <row r="108" spans="1:3">
      <c r="A108" s="4" t="s">
        <v>258</v>
      </c>
      <c r="B108" s="4" t="s">
        <v>219</v>
      </c>
      <c r="C108" s="4"/>
    </row>
    <row r="109" spans="1:3">
      <c r="A109" s="4" t="s">
        <v>259</v>
      </c>
      <c r="B109" s="4" t="s">
        <v>220</v>
      </c>
      <c r="C109" s="4"/>
    </row>
    <row r="110" spans="1:3">
      <c r="A110" s="4" t="s">
        <v>261</v>
      </c>
      <c r="B110" s="4" t="s">
        <v>260</v>
      </c>
      <c r="C110" s="4"/>
    </row>
    <row r="111" spans="1:3">
      <c r="A111" s="4" t="s">
        <v>262</v>
      </c>
      <c r="B111" s="4" t="s">
        <v>221</v>
      </c>
      <c r="C111" s="4"/>
    </row>
    <row r="112" spans="1:3">
      <c r="A112" s="6" t="s">
        <v>263</v>
      </c>
      <c r="B112" s="4" t="s">
        <v>222</v>
      </c>
      <c r="C112" s="4"/>
    </row>
    <row r="113" spans="1:3">
      <c r="A113" s="4" t="s">
        <v>264</v>
      </c>
      <c r="B113" s="4" t="s">
        <v>223</v>
      </c>
      <c r="C113" s="4"/>
    </row>
  </sheetData>
  <phoneticPr fontId="1"/>
  <hyperlinks>
    <hyperlink ref="H7" r:id="rId1" xr:uid="{82B181BA-513D-45ED-9291-60008CE538A5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5AF4-A25C-42F1-93C4-28CBB54A4B43}">
  <dimension ref="A1:C20"/>
  <sheetViews>
    <sheetView workbookViewId="0"/>
  </sheetViews>
  <sheetFormatPr defaultRowHeight="18.75"/>
  <cols>
    <col min="1" max="1" width="14.5" customWidth="1"/>
    <col min="2" max="2" width="24" customWidth="1"/>
    <col min="3" max="3" width="17.625" customWidth="1"/>
  </cols>
  <sheetData>
    <row r="1" spans="1:3" ht="24">
      <c r="A1" s="3" t="s">
        <v>61</v>
      </c>
    </row>
    <row r="3" spans="1:3">
      <c r="A3" s="4" t="s">
        <v>63</v>
      </c>
      <c r="B3" s="4" t="s">
        <v>62</v>
      </c>
      <c r="C3" s="4" t="s">
        <v>64</v>
      </c>
    </row>
    <row r="4" spans="1:3">
      <c r="A4" s="6" t="s">
        <v>188</v>
      </c>
      <c r="B4" s="4" t="s">
        <v>65</v>
      </c>
      <c r="C4" s="4"/>
    </row>
    <row r="5" spans="1:3">
      <c r="A5" s="6" t="s">
        <v>178</v>
      </c>
      <c r="B5" s="4" t="s">
        <v>66</v>
      </c>
      <c r="C5" s="4"/>
    </row>
    <row r="6" spans="1:3">
      <c r="A6" s="6" t="s">
        <v>187</v>
      </c>
      <c r="B6" s="4" t="s">
        <v>67</v>
      </c>
      <c r="C6" s="4"/>
    </row>
    <row r="7" spans="1:3">
      <c r="A7" s="6" t="s">
        <v>174</v>
      </c>
      <c r="B7" s="4" t="s">
        <v>68</v>
      </c>
      <c r="C7" s="4"/>
    </row>
    <row r="8" spans="1:3">
      <c r="A8" s="6" t="s">
        <v>184</v>
      </c>
      <c r="B8" s="4" t="s">
        <v>69</v>
      </c>
      <c r="C8" s="4"/>
    </row>
    <row r="9" spans="1:3">
      <c r="A9" s="6" t="s">
        <v>183</v>
      </c>
      <c r="B9" s="4" t="s">
        <v>70</v>
      </c>
      <c r="C9" s="4"/>
    </row>
    <row r="10" spans="1:3">
      <c r="A10" s="4" t="s">
        <v>181</v>
      </c>
      <c r="B10" s="4" t="s">
        <v>71</v>
      </c>
      <c r="C10" s="4"/>
    </row>
    <row r="11" spans="1:3">
      <c r="A11" s="6" t="s">
        <v>189</v>
      </c>
      <c r="B11" s="4" t="s">
        <v>72</v>
      </c>
      <c r="C11" s="4"/>
    </row>
    <row r="12" spans="1:3">
      <c r="A12" s="6" t="s">
        <v>186</v>
      </c>
      <c r="B12" s="4" t="s">
        <v>73</v>
      </c>
      <c r="C12" s="4"/>
    </row>
    <row r="13" spans="1:3">
      <c r="A13" s="4" t="s">
        <v>179</v>
      </c>
      <c r="B13" s="4" t="s">
        <v>74</v>
      </c>
      <c r="C13" s="4"/>
    </row>
    <row r="14" spans="1:3">
      <c r="A14" s="4" t="s">
        <v>177</v>
      </c>
      <c r="B14" s="4" t="s">
        <v>75</v>
      </c>
      <c r="C14" s="4"/>
    </row>
    <row r="15" spans="1:3">
      <c r="A15" s="6" t="s">
        <v>190</v>
      </c>
      <c r="B15" s="4" t="s">
        <v>76</v>
      </c>
      <c r="C15" s="4"/>
    </row>
    <row r="16" spans="1:3">
      <c r="A16" s="6" t="s">
        <v>182</v>
      </c>
      <c r="B16" s="4" t="s">
        <v>77</v>
      </c>
      <c r="C16" s="4"/>
    </row>
    <row r="17" spans="1:3">
      <c r="A17" s="4" t="s">
        <v>180</v>
      </c>
      <c r="B17" s="4" t="s">
        <v>78</v>
      </c>
      <c r="C17" s="4"/>
    </row>
    <row r="18" spans="1:3">
      <c r="A18" s="6" t="s">
        <v>185</v>
      </c>
      <c r="B18" s="4" t="s">
        <v>79</v>
      </c>
      <c r="C18" s="4"/>
    </row>
    <row r="19" spans="1:3">
      <c r="A19" s="6" t="s">
        <v>175</v>
      </c>
      <c r="B19" s="4" t="s">
        <v>80</v>
      </c>
      <c r="C19" s="4"/>
    </row>
    <row r="20" spans="1:3">
      <c r="A20" s="6" t="s">
        <v>176</v>
      </c>
      <c r="B20" s="4" t="s">
        <v>81</v>
      </c>
      <c r="C20" s="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499D-E17E-411C-AFD0-96BD652FF406}">
  <dimension ref="A1:Q7"/>
  <sheetViews>
    <sheetView zoomScaleNormal="100" workbookViewId="0">
      <selection activeCell="E8" sqref="E8"/>
    </sheetView>
  </sheetViews>
  <sheetFormatPr defaultRowHeight="18.75"/>
  <cols>
    <col min="1" max="1" width="15.625" customWidth="1"/>
    <col min="2" max="2" width="9" customWidth="1"/>
  </cols>
  <sheetData>
    <row r="1" spans="1:17">
      <c r="A1" s="4" t="s">
        <v>277</v>
      </c>
      <c r="B1" s="4" t="s">
        <v>25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41</v>
      </c>
      <c r="H1" s="4" t="s">
        <v>42</v>
      </c>
      <c r="I1" s="4" t="s">
        <v>44</v>
      </c>
      <c r="J1" s="4" t="s">
        <v>45</v>
      </c>
      <c r="K1" s="4" t="s">
        <v>47</v>
      </c>
      <c r="L1" s="4" t="s">
        <v>273</v>
      </c>
      <c r="M1" s="4" t="s">
        <v>269</v>
      </c>
      <c r="N1" s="4" t="s">
        <v>270</v>
      </c>
      <c r="O1" s="4" t="s">
        <v>274</v>
      </c>
      <c r="P1" s="4" t="s">
        <v>272</v>
      </c>
      <c r="Q1" s="4" t="s">
        <v>271</v>
      </c>
    </row>
    <row r="2" spans="1:17">
      <c r="A2" s="4" t="s">
        <v>278</v>
      </c>
      <c r="B2" s="4">
        <f>VLOOKUP(検索!$B$5,評価値コロッセオ!1:1048576,2,0)</f>
        <v>0</v>
      </c>
      <c r="C2" s="4">
        <f>VLOOKUP(検索!$B$5,評価値コロッセオ!1:1048576,3,0)</f>
        <v>1.33</v>
      </c>
      <c r="D2" s="4">
        <f>VLOOKUP(検索!$B$5,評価値コロッセオ!1:1048576,4,0)</f>
        <v>0</v>
      </c>
      <c r="E2" s="4">
        <f>VLOOKUP(検索!$B$5,評価値コロッセオ!1:1048576,5,0)</f>
        <v>1.33</v>
      </c>
      <c r="F2" s="4">
        <f>VLOOKUP(検索!$B$5,評価値コロッセオ!1:1048576,6,0)</f>
        <v>0</v>
      </c>
      <c r="G2" s="4">
        <f>VLOOKUP(検索!$B$5,評価値コロッセオ!1:1048576,7,0)</f>
        <v>1</v>
      </c>
      <c r="H2" s="4">
        <f>VLOOKUP(検索!$B$5,評価値コロッセオ!1:1048576,8,0)</f>
        <v>1.33</v>
      </c>
      <c r="I2" s="4">
        <f>VLOOKUP(検索!$B$5,評価値コロッセオ!1:1048576,9,0)</f>
        <v>0</v>
      </c>
      <c r="J2" s="4">
        <f>VLOOKUP(検索!$B$5,評価値コロッセオ!1:1048576,10,0)</f>
        <v>0</v>
      </c>
      <c r="K2" s="4">
        <f>VLOOKUP(検索!$B$5,評価値コロッセオ!1:1048576,11,0)</f>
        <v>0.67</v>
      </c>
      <c r="L2" s="4" t="str">
        <f>VLOOKUP(検索!$B$5,評価値コロッセオ!1:1048576,12,0)</f>
        <v>中式现代</v>
      </c>
      <c r="M2" s="4" t="str">
        <f>VLOOKUP(検索!$B$5,評価値コロッセオ!1:1048576,13,0)</f>
        <v>a</v>
      </c>
      <c r="N2" s="4">
        <f>VLOOKUP(検索!$B$5,評価値コロッセオ!1:1048576,14,0)</f>
        <v>1</v>
      </c>
      <c r="O2" s="4">
        <f>VLOOKUP(検索!$B$5,評価値コロッセオ!1:1048576,15,0)</f>
        <v>0</v>
      </c>
      <c r="P2" s="4" t="str">
        <f>VLOOKUP(検索!$B$5,評価値コロッセオ!1:1048576,16,0)</f>
        <v>e</v>
      </c>
      <c r="Q2" s="4">
        <f>VLOOKUP(検索!$B$5,評価値コロッセオ!1:1048576,17,0)</f>
        <v>0</v>
      </c>
    </row>
    <row r="4" spans="1:17" ht="24">
      <c r="A4" s="3" t="s">
        <v>279</v>
      </c>
    </row>
    <row r="5" spans="1:17">
      <c r="A5" s="4" t="s">
        <v>281</v>
      </c>
      <c r="B5" s="18" t="s">
        <v>173</v>
      </c>
      <c r="C5" s="18"/>
      <c r="E5" t="s">
        <v>297</v>
      </c>
    </row>
    <row r="6" spans="1:17">
      <c r="B6" s="15"/>
      <c r="C6" s="15"/>
    </row>
    <row r="7" spans="1:17">
      <c r="E7" t="s">
        <v>311</v>
      </c>
    </row>
  </sheetData>
  <mergeCells count="1">
    <mergeCell ref="B5:C5"/>
  </mergeCells>
  <phoneticPr fontId="1"/>
  <dataValidations count="1">
    <dataValidation type="list" allowBlank="1" showInputMessage="1" showErrorMessage="1" sqref="B5:C5" xr:uid="{4E03C67C-C892-4E11-B92F-B64C016C19C9}">
      <formula1>INDIRECT(A5)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FE419F-CF0D-4B5B-8C12-AE0B296ADF8F}">
          <x14:formula1>
            <xm:f>ホーム!$E$62:$E$66</xm:f>
          </x14:formula1>
          <xm:sqref>A6</xm:sqref>
        </x14:dataValidation>
        <x14:dataValidation type="list" allowBlank="1" showInputMessage="1" showErrorMessage="1" xr:uid="{D445904C-7C3D-4F40-BB31-CD4990C74F56}">
          <x14:formula1>
            <xm:f>ホーム!$E$62:$E$67</xm:f>
          </x14:formula1>
          <xm:sqref>A5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8C57-8A0D-46C1-8A1D-1243C9F26569}">
  <dimension ref="A1:CW2"/>
  <sheetViews>
    <sheetView tabSelected="1" workbookViewId="0">
      <selection activeCell="G9" sqref="G9"/>
    </sheetView>
  </sheetViews>
  <sheetFormatPr defaultRowHeight="18.75"/>
  <cols>
    <col min="1" max="1" width="9.375" customWidth="1"/>
    <col min="2" max="2" width="9.375" bestFit="1" customWidth="1"/>
  </cols>
  <sheetData>
    <row r="1" spans="1:101">
      <c r="A1" t="s">
        <v>192</v>
      </c>
      <c r="B1" t="s">
        <v>298</v>
      </c>
      <c r="D1" t="s">
        <v>193</v>
      </c>
      <c r="E1" t="s">
        <v>298</v>
      </c>
      <c r="G1" t="s">
        <v>194</v>
      </c>
      <c r="H1" t="s">
        <v>298</v>
      </c>
      <c r="J1" t="s">
        <v>195</v>
      </c>
      <c r="K1" t="s">
        <v>298</v>
      </c>
      <c r="M1" t="s">
        <v>196</v>
      </c>
      <c r="N1" t="s">
        <v>298</v>
      </c>
      <c r="P1" t="s">
        <v>197</v>
      </c>
      <c r="Q1" t="s">
        <v>299</v>
      </c>
      <c r="S1" t="s">
        <v>198</v>
      </c>
      <c r="T1" t="s">
        <v>299</v>
      </c>
      <c r="V1" t="s">
        <v>199</v>
      </c>
      <c r="W1" t="s">
        <v>299</v>
      </c>
      <c r="Y1" t="s">
        <v>200</v>
      </c>
      <c r="Z1" t="s">
        <v>299</v>
      </c>
      <c r="AB1" t="s">
        <v>201</v>
      </c>
      <c r="AC1" t="s">
        <v>299</v>
      </c>
      <c r="AE1" t="s">
        <v>202</v>
      </c>
      <c r="AF1" t="s">
        <v>299</v>
      </c>
      <c r="AH1" t="s">
        <v>203</v>
      </c>
      <c r="AI1" t="s">
        <v>299</v>
      </c>
      <c r="AK1" t="s">
        <v>204</v>
      </c>
      <c r="AL1" t="s">
        <v>299</v>
      </c>
      <c r="AN1" t="s">
        <v>205</v>
      </c>
      <c r="AO1" t="s">
        <v>299</v>
      </c>
      <c r="AQ1" t="s">
        <v>206</v>
      </c>
      <c r="AR1" t="s">
        <v>299</v>
      </c>
      <c r="AT1" t="s">
        <v>207</v>
      </c>
      <c r="AU1" t="s">
        <v>299</v>
      </c>
      <c r="AW1" t="s">
        <v>208</v>
      </c>
      <c r="AX1" t="s">
        <v>299</v>
      </c>
      <c r="AZ1" t="s">
        <v>209</v>
      </c>
      <c r="BA1" t="s">
        <v>299</v>
      </c>
      <c r="BC1" t="s">
        <v>210</v>
      </c>
      <c r="BD1" t="s">
        <v>299</v>
      </c>
      <c r="BF1" t="s">
        <v>211</v>
      </c>
      <c r="BG1" t="s">
        <v>299</v>
      </c>
      <c r="BI1" t="s">
        <v>212</v>
      </c>
      <c r="BJ1" t="s">
        <v>299</v>
      </c>
      <c r="BL1" t="s">
        <v>213</v>
      </c>
      <c r="BM1" t="s">
        <v>299</v>
      </c>
      <c r="BO1" t="s">
        <v>215</v>
      </c>
      <c r="BP1" t="s">
        <v>299</v>
      </c>
      <c r="BR1" t="s">
        <v>214</v>
      </c>
      <c r="BS1" t="s">
        <v>299</v>
      </c>
      <c r="BU1" t="s">
        <v>224</v>
      </c>
      <c r="BV1" t="s">
        <v>299</v>
      </c>
      <c r="BX1" t="s">
        <v>216</v>
      </c>
      <c r="BY1" t="s">
        <v>299</v>
      </c>
      <c r="CA1" t="s">
        <v>217</v>
      </c>
      <c r="CB1" t="s">
        <v>299</v>
      </c>
      <c r="CD1" t="s">
        <v>218</v>
      </c>
      <c r="CE1" t="s">
        <v>299</v>
      </c>
      <c r="CG1" t="s">
        <v>219</v>
      </c>
      <c r="CH1" t="s">
        <v>299</v>
      </c>
      <c r="CJ1" t="s">
        <v>220</v>
      </c>
      <c r="CK1" t="s">
        <v>299</v>
      </c>
      <c r="CM1" t="s">
        <v>260</v>
      </c>
      <c r="CN1" t="s">
        <v>299</v>
      </c>
      <c r="CP1" t="s">
        <v>221</v>
      </c>
      <c r="CQ1" t="s">
        <v>299</v>
      </c>
      <c r="CS1" t="s">
        <v>222</v>
      </c>
      <c r="CT1" t="s">
        <v>299</v>
      </c>
      <c r="CV1" t="s">
        <v>223</v>
      </c>
      <c r="CW1" t="s">
        <v>299</v>
      </c>
    </row>
    <row r="2" spans="1:101">
      <c r="A2" t="str">
        <f>ヘアスタイル!C2</f>
        <v>默认粉毛</v>
      </c>
      <c r="B2">
        <f>(VLOOKUP(ヘアスタイル!G2,ホーム!$E$8:$F$14,2,FALSE)*ホーム!$F$17+IFERROR(VLOOKUP(検索!$M$2,ホーム!$E$8:$E$14,FALSE)*検索!$N$2*ホーム!$F$17,0)+IFERROR(VLOOKUP(検索!$O$2,ホーム!$E$8:$E$14,FALSE)*検索!$P$2*ホーム!$F$17,0))*検索!$B$2+(VLOOKUP(ヘアスタイル!H2,ホーム!$E$8:$F$14,2,FALSE)*ホーム!$F$17+IFERROR(VLOOKUP(検索!$M$2,ホーム!$E$8:$E$14,FALSE)*検索!$N$2*ホーム!$F$17,0)+IFERROR(VLOOKUP(検索!$O$2,ホーム!$E$8:$E$14,FALSE)*検索!$P$2*ホーム!$F$17,0))*検索!$C$2+(VLOOKUP(ヘアスタイル!I2,ホーム!$E$8:$F$14,2,FALSE)*ホーム!$F$17+IFERROR(VLOOKUP(検索!$M$2,ホーム!$E$8:$E$14,FALSE)*検索!$N$2*ホーム!$F$17,0)+IFERROR(VLOOKUP(検索!$O$2,ホーム!$E$8:$E$14,FALSE)*検索!$P$2*ホーム!$F$17,0))*検索!$D$2+(VLOOKUP(ヘアスタイル!J2,ホーム!$E$8:$F$14,2,FALSE)*ホーム!$F$17+IFERROR(VLOOKUP(検索!$M$2,ホーム!$E$8:$E$14,FALSE)*検索!$N$2*ホーム!$F$17,0)+IFERROR(VLOOKUP(検索!$O$2,ホーム!$E$8:$E$14,FALSE)*検索!$P$2*ホーム!$F$17,0))*検索!$E$2+(VLOOKUP(ヘアスタイル!K2,ホーム!$E$8:$F$14,2,FALSE)*ホーム!$F$17+IFERROR(VLOOKUP(検索!$M$2,ホーム!$E$8:$E$14,FALSE)*検索!$N$2*ホーム!$F$17,0)+IFERROR(VLOOKUP(検索!$O$2,ホーム!$E$8:$E$14,FALSE)*検索!$P$2*ホーム!$F$17,0))*検索!$F$2+(VLOOKUP(ヘアスタイル!L2,ホーム!$E$8:$F$14,2,FALSE)*ホーム!$F$17+IFERROR(VLOOKUP(検索!$M$2,ホーム!$E$8:$E$14,FALSE)*検索!$N$2*ホーム!$F$17,0)+IFERROR(VLOOKUP(検索!$O$2,ホーム!$E$8:$E$14,FALSE)*検索!$P$2*ホーム!$F$17,0))*検索!$G$2+(VLOOKUP(ヘアスタイル!M2,ホーム!$E$8:$F$14,2,FALSE)*ホーム!$F$17+IFERROR(VLOOKUP(検索!$M$2,ホーム!$E$8:$E$14,FALSE)*検索!$N$2*ホーム!$F$17,0)+IFERROR(VLOOKUP(検索!$O$2,ホーム!$E$8:$E$14,FALSE)*検索!$P$2*ホーム!$F$17,0))*検索!$H$2+(VLOOKUP(ヘアスタイル!N2,ホーム!$E$8:$F$14,2,FALSE)*ホーム!$F$17+IFERROR(VLOOKUP(検索!$M$2,ホーム!$E$8:$E$14,FALSE)*検索!$N$2*ホーム!$F$17,0)+IFERROR(VLOOKUP(検索!$O$2,ホーム!$E$8:$E$14,FALSE)*検索!$P$2*ホーム!$F$17,0))*検索!$I$2+(VLOOKUP(ヘアスタイル!O2,ホーム!$E$8:$F$14,2,FALSE)*ホーム!$F$17+IFERROR(VLOOKUP(検索!$M$2,ホーム!$E$8:$E$14,FALSE)*検索!$N$2*ホーム!$F$17,0)+IFERROR(VLOOKUP(検索!$O$2,ホーム!$E$8:$E$14,FALSE)*検索!$P$2*ホーム!$F$17,0))*検索!$J$2+(VLOOKUP(ヘアスタイル!P2,ホーム!$E$8:$F$14,2,FALSE)*ホーム!$F$17+IFERROR(VLOOKUP(検索!$M$2,ホーム!$E$8:$E$14,FALSE)*検索!$N$2*ホーム!$F$17,0)+IFERROR(VLOOKUP(検索!$O$2,ホーム!$E$8:$E$14,FALSE)*検索!$P$2*ホーム!$F$17,0))*検索!$K$2</f>
        <v>1690.6500000000003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6E44-D493-463B-B209-BDBD135D316F}">
  <dimension ref="A1:Q18"/>
  <sheetViews>
    <sheetView workbookViewId="0">
      <selection activeCell="O13" sqref="O13"/>
    </sheetView>
  </sheetViews>
  <sheetFormatPr defaultRowHeight="18.75"/>
  <cols>
    <col min="1" max="1" width="15.375" customWidth="1"/>
  </cols>
  <sheetData>
    <row r="1" spans="1:17">
      <c r="A1" t="s">
        <v>282</v>
      </c>
      <c r="B1" t="s">
        <v>25</v>
      </c>
      <c r="C1" t="s">
        <v>36</v>
      </c>
      <c r="D1" t="s">
        <v>37</v>
      </c>
      <c r="E1" t="s">
        <v>38</v>
      </c>
      <c r="F1" t="s">
        <v>39</v>
      </c>
      <c r="G1" t="s">
        <v>41</v>
      </c>
      <c r="H1" t="s">
        <v>42</v>
      </c>
      <c r="I1" t="s">
        <v>44</v>
      </c>
      <c r="J1" t="s">
        <v>45</v>
      </c>
      <c r="K1" t="s">
        <v>47</v>
      </c>
      <c r="L1" t="s">
        <v>273</v>
      </c>
      <c r="M1" t="s">
        <v>269</v>
      </c>
      <c r="N1" t="s">
        <v>270</v>
      </c>
      <c r="O1" t="s">
        <v>274</v>
      </c>
      <c r="P1" t="s">
        <v>272</v>
      </c>
      <c r="Q1" t="s">
        <v>271</v>
      </c>
    </row>
    <row r="2" spans="1:17">
      <c r="A2" s="2" t="s">
        <v>188</v>
      </c>
      <c r="B2">
        <v>1.33</v>
      </c>
      <c r="C2">
        <v>0</v>
      </c>
      <c r="D2">
        <v>0.67</v>
      </c>
      <c r="E2">
        <v>0</v>
      </c>
      <c r="F2">
        <v>1</v>
      </c>
      <c r="G2">
        <v>0</v>
      </c>
      <c r="H2">
        <v>1.33</v>
      </c>
      <c r="I2">
        <v>0</v>
      </c>
      <c r="J2">
        <v>0</v>
      </c>
      <c r="K2">
        <v>1.33</v>
      </c>
      <c r="M2" t="s">
        <v>310</v>
      </c>
      <c r="N2">
        <v>0</v>
      </c>
      <c r="P2" t="s">
        <v>310</v>
      </c>
      <c r="Q2">
        <v>0</v>
      </c>
    </row>
    <row r="3" spans="1:17">
      <c r="A3" s="2" t="s">
        <v>178</v>
      </c>
      <c r="B3">
        <v>1.33</v>
      </c>
      <c r="C3">
        <v>0</v>
      </c>
      <c r="D3">
        <v>0</v>
      </c>
      <c r="E3">
        <v>1.33</v>
      </c>
      <c r="F3">
        <v>0.67</v>
      </c>
      <c r="G3">
        <v>0</v>
      </c>
      <c r="H3">
        <v>1</v>
      </c>
      <c r="I3">
        <v>0</v>
      </c>
      <c r="J3">
        <v>1.33</v>
      </c>
      <c r="K3">
        <v>0</v>
      </c>
      <c r="M3" t="s">
        <v>310</v>
      </c>
      <c r="N3">
        <v>0</v>
      </c>
      <c r="P3" t="s">
        <v>310</v>
      </c>
      <c r="Q3">
        <v>0</v>
      </c>
    </row>
    <row r="4" spans="1:17">
      <c r="A4" s="2" t="s">
        <v>187</v>
      </c>
      <c r="B4">
        <v>0.67</v>
      </c>
      <c r="C4">
        <v>0</v>
      </c>
      <c r="D4">
        <v>1</v>
      </c>
      <c r="E4">
        <v>0</v>
      </c>
      <c r="F4">
        <v>1.33</v>
      </c>
      <c r="G4">
        <v>0</v>
      </c>
      <c r="H4">
        <v>0</v>
      </c>
      <c r="I4">
        <v>1</v>
      </c>
      <c r="J4">
        <v>1.33</v>
      </c>
      <c r="K4">
        <v>0</v>
      </c>
      <c r="M4" t="s">
        <v>310</v>
      </c>
      <c r="N4">
        <v>0</v>
      </c>
      <c r="P4" t="s">
        <v>310</v>
      </c>
      <c r="Q4">
        <v>0</v>
      </c>
    </row>
    <row r="5" spans="1:17">
      <c r="A5" s="2" t="s">
        <v>174</v>
      </c>
      <c r="B5">
        <v>0</v>
      </c>
      <c r="C5">
        <v>1.33</v>
      </c>
      <c r="D5">
        <v>0</v>
      </c>
      <c r="E5">
        <v>1.33</v>
      </c>
      <c r="F5">
        <v>0</v>
      </c>
      <c r="G5">
        <v>1</v>
      </c>
      <c r="H5">
        <v>1.33</v>
      </c>
      <c r="I5">
        <v>0</v>
      </c>
      <c r="J5">
        <v>0</v>
      </c>
      <c r="K5">
        <v>0.67</v>
      </c>
      <c r="L5" s="2" t="s">
        <v>125</v>
      </c>
      <c r="M5" t="s">
        <v>29</v>
      </c>
      <c r="N5">
        <v>1</v>
      </c>
      <c r="P5" t="s">
        <v>310</v>
      </c>
      <c r="Q5">
        <v>0</v>
      </c>
    </row>
    <row r="6" spans="1:17">
      <c r="A6" s="2" t="s">
        <v>184</v>
      </c>
      <c r="B6">
        <v>1.33</v>
      </c>
      <c r="C6">
        <v>0</v>
      </c>
      <c r="D6">
        <v>0</v>
      </c>
      <c r="E6">
        <v>1.33</v>
      </c>
      <c r="F6">
        <v>0</v>
      </c>
      <c r="G6">
        <v>1.33</v>
      </c>
      <c r="H6">
        <v>0</v>
      </c>
      <c r="I6">
        <v>1</v>
      </c>
      <c r="J6">
        <v>0.67</v>
      </c>
      <c r="K6">
        <v>0</v>
      </c>
      <c r="M6" t="s">
        <v>310</v>
      </c>
      <c r="N6">
        <v>0</v>
      </c>
      <c r="P6" t="s">
        <v>310</v>
      </c>
      <c r="Q6">
        <v>0</v>
      </c>
    </row>
    <row r="7" spans="1:17">
      <c r="A7" s="2" t="s">
        <v>183</v>
      </c>
      <c r="B7">
        <v>1.33</v>
      </c>
      <c r="C7">
        <v>0</v>
      </c>
      <c r="D7">
        <v>1.33</v>
      </c>
      <c r="E7">
        <v>0</v>
      </c>
      <c r="F7">
        <v>1.33</v>
      </c>
      <c r="G7">
        <v>0</v>
      </c>
      <c r="H7">
        <v>1</v>
      </c>
      <c r="I7">
        <v>0</v>
      </c>
      <c r="J7">
        <v>0.67</v>
      </c>
      <c r="K7">
        <v>0</v>
      </c>
      <c r="M7" t="s">
        <v>310</v>
      </c>
      <c r="N7">
        <v>0</v>
      </c>
      <c r="P7" t="s">
        <v>310</v>
      </c>
      <c r="Q7">
        <v>0</v>
      </c>
    </row>
    <row r="8" spans="1:17">
      <c r="A8" t="s">
        <v>181</v>
      </c>
      <c r="B8">
        <v>0</v>
      </c>
      <c r="C8">
        <v>0.67</v>
      </c>
      <c r="D8">
        <v>1.33</v>
      </c>
      <c r="E8">
        <v>0</v>
      </c>
      <c r="F8">
        <v>1</v>
      </c>
      <c r="G8">
        <v>0</v>
      </c>
      <c r="H8">
        <v>0</v>
      </c>
      <c r="I8">
        <v>1.33</v>
      </c>
      <c r="J8">
        <v>0</v>
      </c>
      <c r="K8">
        <v>1.33</v>
      </c>
      <c r="M8" t="s">
        <v>310</v>
      </c>
      <c r="N8">
        <v>0</v>
      </c>
      <c r="P8" t="s">
        <v>310</v>
      </c>
      <c r="Q8">
        <v>0</v>
      </c>
    </row>
    <row r="9" spans="1:17">
      <c r="A9" s="2" t="s">
        <v>189</v>
      </c>
      <c r="B9">
        <v>1.33</v>
      </c>
      <c r="C9">
        <v>0</v>
      </c>
      <c r="D9">
        <v>0.67</v>
      </c>
      <c r="E9">
        <v>0</v>
      </c>
      <c r="F9">
        <v>1</v>
      </c>
      <c r="G9">
        <v>0</v>
      </c>
      <c r="H9">
        <v>1.33</v>
      </c>
      <c r="I9">
        <v>0</v>
      </c>
      <c r="J9">
        <v>1.33</v>
      </c>
      <c r="K9">
        <v>0</v>
      </c>
      <c r="M9" t="s">
        <v>310</v>
      </c>
      <c r="N9">
        <v>0</v>
      </c>
      <c r="P9" t="s">
        <v>310</v>
      </c>
      <c r="Q9">
        <v>0</v>
      </c>
    </row>
    <row r="10" spans="1:17">
      <c r="A10" s="2" t="s">
        <v>186</v>
      </c>
      <c r="B10">
        <v>1</v>
      </c>
      <c r="C10">
        <v>0</v>
      </c>
      <c r="D10">
        <v>1.33</v>
      </c>
      <c r="E10">
        <v>0</v>
      </c>
      <c r="F10">
        <v>0.67</v>
      </c>
      <c r="G10">
        <v>0</v>
      </c>
      <c r="H10">
        <v>1.33</v>
      </c>
      <c r="I10">
        <v>0</v>
      </c>
      <c r="J10">
        <v>1.33</v>
      </c>
      <c r="K10">
        <v>0</v>
      </c>
      <c r="M10" t="s">
        <v>310</v>
      </c>
      <c r="N10">
        <v>0</v>
      </c>
      <c r="P10" t="s">
        <v>310</v>
      </c>
      <c r="Q10">
        <v>0</v>
      </c>
    </row>
    <row r="11" spans="1:17">
      <c r="A11" t="s">
        <v>179</v>
      </c>
      <c r="B11">
        <v>1.33</v>
      </c>
      <c r="C11">
        <v>0</v>
      </c>
      <c r="D11">
        <v>0</v>
      </c>
      <c r="E11">
        <v>1.33</v>
      </c>
      <c r="F11">
        <v>0.67</v>
      </c>
      <c r="G11">
        <v>0</v>
      </c>
      <c r="H11">
        <v>0</v>
      </c>
      <c r="I11">
        <v>1.33</v>
      </c>
      <c r="J11">
        <v>1</v>
      </c>
      <c r="K11">
        <v>0</v>
      </c>
      <c r="L11" s="2" t="s">
        <v>125</v>
      </c>
      <c r="M11" t="s">
        <v>29</v>
      </c>
      <c r="N11">
        <v>1</v>
      </c>
      <c r="P11" t="s">
        <v>310</v>
      </c>
      <c r="Q11">
        <v>0</v>
      </c>
    </row>
    <row r="12" spans="1:17">
      <c r="A12" t="s">
        <v>177</v>
      </c>
      <c r="B12">
        <v>0.67</v>
      </c>
      <c r="C12">
        <v>0</v>
      </c>
      <c r="D12">
        <v>1.33</v>
      </c>
      <c r="E12">
        <v>0</v>
      </c>
      <c r="F12">
        <v>1.33</v>
      </c>
      <c r="G12">
        <v>0</v>
      </c>
      <c r="H12">
        <v>1.33</v>
      </c>
      <c r="I12">
        <v>0</v>
      </c>
      <c r="J12">
        <v>1</v>
      </c>
      <c r="K12">
        <v>0</v>
      </c>
      <c r="M12" t="s">
        <v>310</v>
      </c>
      <c r="N12">
        <v>0</v>
      </c>
      <c r="P12" t="s">
        <v>310</v>
      </c>
      <c r="Q12">
        <v>0</v>
      </c>
    </row>
    <row r="13" spans="1:17">
      <c r="A13" s="2" t="s">
        <v>190</v>
      </c>
      <c r="B13">
        <v>0</v>
      </c>
      <c r="C13">
        <v>1.33</v>
      </c>
      <c r="D13">
        <v>0</v>
      </c>
      <c r="E13">
        <v>1.33</v>
      </c>
      <c r="F13">
        <v>0</v>
      </c>
      <c r="G13">
        <v>1</v>
      </c>
      <c r="H13">
        <v>0</v>
      </c>
      <c r="I13">
        <v>1.33</v>
      </c>
      <c r="J13">
        <v>0</v>
      </c>
      <c r="K13">
        <v>0.67</v>
      </c>
      <c r="M13" t="s">
        <v>310</v>
      </c>
      <c r="N13">
        <v>0</v>
      </c>
      <c r="P13" t="s">
        <v>310</v>
      </c>
      <c r="Q13">
        <v>0</v>
      </c>
    </row>
    <row r="14" spans="1:17">
      <c r="A14" s="2" t="s">
        <v>182</v>
      </c>
      <c r="B14">
        <v>0</v>
      </c>
      <c r="C14">
        <v>1.33</v>
      </c>
      <c r="D14">
        <v>0</v>
      </c>
      <c r="E14">
        <v>1.33</v>
      </c>
      <c r="F14">
        <v>0</v>
      </c>
      <c r="G14">
        <v>1.33</v>
      </c>
      <c r="H14">
        <v>0</v>
      </c>
      <c r="I14">
        <v>1</v>
      </c>
      <c r="J14">
        <v>0</v>
      </c>
      <c r="K14">
        <v>0.67</v>
      </c>
      <c r="M14" t="s">
        <v>310</v>
      </c>
      <c r="N14">
        <v>0</v>
      </c>
      <c r="P14" t="s">
        <v>310</v>
      </c>
      <c r="Q14">
        <v>0</v>
      </c>
    </row>
    <row r="15" spans="1:17">
      <c r="A15" t="s">
        <v>180</v>
      </c>
      <c r="B15">
        <v>0</v>
      </c>
      <c r="C15">
        <v>1</v>
      </c>
      <c r="D15">
        <v>0</v>
      </c>
      <c r="E15">
        <v>1.33</v>
      </c>
      <c r="F15">
        <v>0</v>
      </c>
      <c r="G15">
        <v>1.33</v>
      </c>
      <c r="H15">
        <v>0</v>
      </c>
      <c r="I15">
        <v>1.33</v>
      </c>
      <c r="J15">
        <v>0.67</v>
      </c>
      <c r="K15">
        <v>0</v>
      </c>
      <c r="M15" t="s">
        <v>310</v>
      </c>
      <c r="N15">
        <v>0</v>
      </c>
      <c r="P15" t="s">
        <v>310</v>
      </c>
      <c r="Q15">
        <v>0</v>
      </c>
    </row>
    <row r="16" spans="1:17">
      <c r="A16" s="2" t="s">
        <v>185</v>
      </c>
      <c r="B16">
        <v>0</v>
      </c>
      <c r="C16">
        <v>1.33</v>
      </c>
      <c r="D16">
        <v>0</v>
      </c>
      <c r="E16">
        <v>1.33</v>
      </c>
      <c r="F16">
        <v>1.33</v>
      </c>
      <c r="G16">
        <v>0</v>
      </c>
      <c r="H16">
        <v>1</v>
      </c>
      <c r="I16">
        <v>0</v>
      </c>
      <c r="J16">
        <v>0.67</v>
      </c>
      <c r="K16">
        <v>0</v>
      </c>
      <c r="M16" t="s">
        <v>310</v>
      </c>
      <c r="N16">
        <v>0</v>
      </c>
      <c r="P16" t="s">
        <v>310</v>
      </c>
      <c r="Q16">
        <v>0</v>
      </c>
    </row>
    <row r="17" spans="1:17">
      <c r="A17" s="2" t="s">
        <v>175</v>
      </c>
      <c r="B17">
        <v>0.67</v>
      </c>
      <c r="C17">
        <v>0</v>
      </c>
      <c r="D17">
        <v>0</v>
      </c>
      <c r="E17">
        <v>1.33</v>
      </c>
      <c r="F17">
        <v>0</v>
      </c>
      <c r="G17">
        <v>1.33</v>
      </c>
      <c r="H17">
        <v>1.33</v>
      </c>
      <c r="I17">
        <v>0</v>
      </c>
      <c r="J17">
        <v>0</v>
      </c>
      <c r="K17">
        <v>1</v>
      </c>
      <c r="M17" t="s">
        <v>310</v>
      </c>
      <c r="N17">
        <v>0</v>
      </c>
      <c r="P17" t="s">
        <v>310</v>
      </c>
      <c r="Q17">
        <v>0</v>
      </c>
    </row>
    <row r="18" spans="1:17">
      <c r="A18" s="2" t="s">
        <v>176</v>
      </c>
      <c r="B18">
        <v>1.33</v>
      </c>
      <c r="C18">
        <v>0</v>
      </c>
      <c r="D18">
        <v>0</v>
      </c>
      <c r="E18">
        <v>1.33</v>
      </c>
      <c r="F18">
        <v>0</v>
      </c>
      <c r="G18">
        <v>1.33</v>
      </c>
      <c r="H18">
        <v>0.67</v>
      </c>
      <c r="I18">
        <v>0</v>
      </c>
      <c r="J18">
        <v>0</v>
      </c>
      <c r="K18">
        <v>1</v>
      </c>
      <c r="M18" t="s">
        <v>310</v>
      </c>
      <c r="N18">
        <v>0</v>
      </c>
      <c r="P18" t="s">
        <v>310</v>
      </c>
      <c r="Q18">
        <v>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629B-EF64-4660-A624-033C9F501FD5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2AE3-7048-4D87-A224-2E1E625854F5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9D0F-9633-41A0-AB7A-01DC13527F64}">
  <dimension ref="A1"/>
  <sheetViews>
    <sheetView workbookViewId="0">
      <selection activeCell="K17" sqref="K17"/>
    </sheetView>
  </sheetViews>
  <sheetFormatPr defaultRowHeight="18.75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F9CB-D5FF-4CF1-AFE5-7ED3468422F2}">
  <dimension ref="A1"/>
  <sheetViews>
    <sheetView workbookViewId="0">
      <selection activeCell="J11" sqref="J11"/>
    </sheetView>
  </sheetViews>
  <sheetFormatPr defaultRowHeight="18.75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0E86-D08E-4FB0-8A7B-E754CE125625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6D0F-0BD2-4508-98C2-6BD59669CA41}">
  <dimension ref="A1:R2"/>
  <sheetViews>
    <sheetView workbookViewId="0">
      <selection activeCell="L2" sqref="L2"/>
    </sheetView>
  </sheetViews>
  <sheetFormatPr defaultRowHeight="18.75"/>
  <cols>
    <col min="3" max="3" width="14.125" customWidth="1"/>
    <col min="4" max="4" width="13.75" customWidth="1"/>
    <col min="5" max="5" width="13" customWidth="1"/>
  </cols>
  <sheetData>
    <row r="1" spans="1:18">
      <c r="A1" t="s">
        <v>286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25</v>
      </c>
      <c r="H1" t="s">
        <v>36</v>
      </c>
      <c r="I1" t="s">
        <v>37</v>
      </c>
      <c r="J1" t="s">
        <v>38</v>
      </c>
      <c r="K1" t="s">
        <v>39</v>
      </c>
      <c r="L1" t="s">
        <v>41</v>
      </c>
      <c r="M1" t="s">
        <v>42</v>
      </c>
      <c r="N1" t="s">
        <v>44</v>
      </c>
      <c r="O1" t="s">
        <v>45</v>
      </c>
      <c r="P1" t="s">
        <v>47</v>
      </c>
      <c r="Q1" t="s">
        <v>267</v>
      </c>
      <c r="R1" t="s">
        <v>268</v>
      </c>
    </row>
    <row r="2" spans="1:18">
      <c r="A2" t="s">
        <v>292</v>
      </c>
      <c r="B2">
        <v>1</v>
      </c>
      <c r="C2" s="16" t="s">
        <v>296</v>
      </c>
      <c r="D2" t="s">
        <v>295</v>
      </c>
      <c r="E2" t="s">
        <v>192</v>
      </c>
      <c r="F2">
        <v>2</v>
      </c>
      <c r="G2" t="s">
        <v>28</v>
      </c>
      <c r="H2" t="s">
        <v>310</v>
      </c>
      <c r="I2" t="s">
        <v>29</v>
      </c>
      <c r="J2" t="s">
        <v>310</v>
      </c>
      <c r="K2" t="s">
        <v>29</v>
      </c>
      <c r="L2" t="s">
        <v>310</v>
      </c>
      <c r="M2" t="s">
        <v>29</v>
      </c>
      <c r="N2" t="s">
        <v>310</v>
      </c>
      <c r="O2" t="s">
        <v>310</v>
      </c>
      <c r="P2" t="s">
        <v>29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A26BD1-43D2-409A-A32B-8F0BA4D7C82A}">
          <x14:formula1>
            <xm:f>ホーム!$G$62:$G$63</xm:f>
          </x14:formula1>
          <xm:sqref>A2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3FDB-61A3-4509-80D4-6EEBD54893FA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43D4-0A2E-411B-B8C7-92A9E9E74D2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2689-826B-44B3-8CFC-47E54FB158D8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A5D7-F2B8-4E30-B630-DCCDAA9F82E7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63E-2665-4772-B4D6-3DE7FDCA1F8A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B1D5-A8E2-4004-BEB4-29DB46CFDF25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A1A8-7E8A-4C8F-84D5-119A983854B9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11E1-2251-4EA3-B519-FABC2E882B7E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F347-E5CA-4DA9-85A4-F662A1BA8421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829A-6C06-4A31-9CFA-F3F81AA1E56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F0B3-1FAA-4C5F-8FF3-310C3766712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5A0B-197B-4223-AD6B-09EA16E5DA69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5008-CF49-4D80-80F6-1A382D96C1CC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BACB-5F49-485B-8525-94780404C431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E8D0-C91B-4F81-A7B7-84FEFF95A897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2BCE-0319-4C98-A5A8-B6F4E332241A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134A-2107-4BA4-BDBE-A69A90D55E3B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C347-4B81-46BE-B5DA-053DBF8876E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1FC9-11B9-406A-992E-C216FEEAE94D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0A3E-4692-4DA4-8DBA-71B43962E298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E84E-5CA2-41A4-9180-CE26733ED23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B532-A56E-48DE-A5FB-94AC9191F592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6C76-F0C9-408F-8DF8-071F6788A216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329E-A524-4641-9B9C-7870946DCEEB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7B6-3405-4A03-9E69-CBA9B042566B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BB3E-CC42-4B07-8DF5-DC442B5840F7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FE1E-6AE7-4E03-8641-7FDBB067D1AB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0D41-9D18-4861-BA66-1E76E227289D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2870-DA31-46F1-90D3-E7C5A364CBA6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5F30-3A6C-4445-B7D7-596A066092DA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074-3B3F-4587-9120-95A7F6D5F571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3928-4FBC-4435-9B6B-698E0791C96D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43</vt:i4>
      </vt:variant>
      <vt:variant>
        <vt:lpstr>名前付き一覧</vt:lpstr>
      </vt:variant>
      <vt:variant>
        <vt:i4>1</vt:i4>
      </vt:variant>
    </vt:vector>
  </HeadingPairs>
  <TitlesOfParts>
    <vt:vector size="44" baseType="lpstr">
      <vt:lpstr>ホーム</vt:lpstr>
      <vt:lpstr>スコア</vt:lpstr>
      <vt:lpstr>検索</vt:lpstr>
      <vt:lpstr>出力</vt:lpstr>
      <vt:lpstr>評価値コロッセオ</vt:lpstr>
      <vt:lpstr>評価値シナリオ（ガール）</vt:lpstr>
      <vt:lpstr>評価値シナリオ（プリンセス）</vt:lpstr>
      <vt:lpstr>評価値ギルド</vt:lpstr>
      <vt:lpstr>評価値ギルド戦</vt:lpstr>
      <vt:lpstr>評価値協会</vt:lpstr>
      <vt:lpstr>ヘアスタイル</vt:lpstr>
      <vt:lpstr>ドレス</vt:lpstr>
      <vt:lpstr>コート</vt:lpstr>
      <vt:lpstr>トップス</vt:lpstr>
      <vt:lpstr>ボトムス</vt:lpstr>
      <vt:lpstr>足飾り</vt:lpstr>
      <vt:lpstr>靴下</vt:lpstr>
      <vt:lpstr>シューズ</vt:lpstr>
      <vt:lpstr>メイク</vt:lpstr>
      <vt:lpstr>ヴィータ</vt:lpstr>
      <vt:lpstr>ヘッドアクセ</vt:lpstr>
      <vt:lpstr>ヴェール</vt:lpstr>
      <vt:lpstr>カチューシャ</vt:lpstr>
      <vt:lpstr>つけ耳</vt:lpstr>
      <vt:lpstr>マフラー</vt:lpstr>
      <vt:lpstr>ネックレス</vt:lpstr>
      <vt:lpstr>右手飾り</vt:lpstr>
      <vt:lpstr>左手飾り</vt:lpstr>
      <vt:lpstr>手袋</vt:lpstr>
      <vt:lpstr>右手持ち</vt:lpstr>
      <vt:lpstr>左手持ち</vt:lpstr>
      <vt:lpstr>両手持ち</vt:lpstr>
      <vt:lpstr>腰飾り</vt:lpstr>
      <vt:lpstr>肌</vt:lpstr>
      <vt:lpstr>フェイス</vt:lpstr>
      <vt:lpstr>ボディ</vt:lpstr>
      <vt:lpstr>タトゥー</vt:lpstr>
      <vt:lpstr>羽根</vt:lpstr>
      <vt:lpstr>しっぽ</vt:lpstr>
      <vt:lpstr>前景</vt:lpstr>
      <vt:lpstr>後景</vt:lpstr>
      <vt:lpstr>吊り</vt:lpstr>
      <vt:lpstr>床</vt:lpstr>
      <vt:lpstr>コロッセオ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2019-02-26T08:38:27Z</dcterms:modified>
</cp:coreProperties>
</file>